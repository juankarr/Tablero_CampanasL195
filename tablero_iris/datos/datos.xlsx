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mc:AlternateContent xmlns:mc="http://schemas.openxmlformats.org/markup-compatibility/2006">
    <mc:Choice Requires="x15">
      <x15ac:absPath xmlns:x15ac="http://schemas.microsoft.com/office/spreadsheetml/2010/11/ac" url="https://outsourcingco-my.sharepoint.com/personal/ancuaranp_outsourcing_com_co/Documents/CAMPAÑAS SMS Y MAILING/"/>
    </mc:Choice>
  </mc:AlternateContent>
  <xr:revisionPtr revIDLastSave="4765" documentId="8_{3441D8F5-F964-4407-9051-796202997F64}" xr6:coauthVersionLast="47" xr6:coauthVersionMax="47" xr10:uidLastSave="{71F24E7F-864B-4E71-A84B-B83824288DD7}"/>
  <bookViews>
    <workbookView xWindow="-110" yWindow="-110" windowWidth="19420" windowHeight="11500" firstSheet="2" activeTab="2" xr2:uid="{AF1F0E16-0C2E-4D7C-B3AC-CCEFEF80D4D5}"/>
  </bookViews>
  <sheets>
    <sheet name="Hoja1" sheetId="10" state="hidden" r:id="rId1"/>
    <sheet name="Camapañas no previstas " sheetId="5" r:id="rId2"/>
    <sheet name="SMS" sheetId="2" r:id="rId3"/>
    <sheet name="Chatico " sheetId="7" r:id="rId4"/>
    <sheet name="Acueducto " sheetId="9" r:id="rId5"/>
    <sheet name="Agente Virtual " sheetId="8" r:id="rId6"/>
    <sheet name="tabla" sheetId="4" state="hidden" r:id="rId7"/>
    <sheet name="Milticanal" sheetId="6" r:id="rId8"/>
  </sheets>
  <definedNames>
    <definedName name="_xlnm._FilterDatabase" localSheetId="2" hidden="1">SMS!$A$1:$AX$1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90" i="2" l="1"/>
  <c r="U191" i="2"/>
  <c r="U192" i="2"/>
  <c r="U186" i="2"/>
  <c r="U187" i="2"/>
  <c r="U188" i="2"/>
  <c r="U189" i="2"/>
  <c r="U185" i="2"/>
  <c r="U184" i="2"/>
  <c r="U183" i="2"/>
  <c r="U182" i="2"/>
  <c r="U181" i="2"/>
  <c r="U177" i="2"/>
  <c r="U178" i="2"/>
  <c r="U179" i="2"/>
  <c r="U180" i="2"/>
  <c r="S227" i="2"/>
  <c r="U176" i="2"/>
  <c r="U175" i="2"/>
  <c r="U171" i="2"/>
  <c r="U172" i="2"/>
  <c r="U173" i="2"/>
  <c r="U174" i="2"/>
  <c r="U168" i="2"/>
  <c r="U169" i="2"/>
  <c r="U170" i="2"/>
  <c r="U166" i="2"/>
  <c r="U167" i="2"/>
  <c r="U162" i="2"/>
  <c r="U163" i="2"/>
  <c r="U164" i="2"/>
  <c r="U165" i="2"/>
  <c r="U156" i="2"/>
  <c r="U157" i="2"/>
  <c r="U158" i="2"/>
  <c r="U159" i="2"/>
  <c r="U150" i="2"/>
  <c r="U151" i="2"/>
  <c r="U152" i="2"/>
  <c r="U153" i="2"/>
  <c r="U154" i="2"/>
  <c r="U155" i="2"/>
  <c r="U160" i="2"/>
  <c r="U161" i="2"/>
  <c r="U149" i="2"/>
  <c r="U145" i="2"/>
  <c r="U146" i="2"/>
  <c r="U147" i="2"/>
  <c r="U148" i="2"/>
  <c r="U142" i="2"/>
  <c r="U143" i="2"/>
  <c r="U144" i="2"/>
  <c r="U138" i="2"/>
  <c r="U139" i="2"/>
  <c r="U140" i="2"/>
  <c r="U141" i="2"/>
  <c r="U134" i="2"/>
  <c r="U135" i="2"/>
  <c r="U136" i="2"/>
  <c r="U137" i="2"/>
  <c r="U131" i="2"/>
  <c r="U132" i="2"/>
  <c r="U133" i="2"/>
  <c r="U128" i="2"/>
  <c r="U129" i="2"/>
  <c r="U130" i="2"/>
  <c r="U125" i="2"/>
  <c r="U126" i="2"/>
  <c r="U124" i="2"/>
  <c r="U123" i="2"/>
  <c r="U127" i="2"/>
  <c r="U122" i="2"/>
  <c r="U120" i="2"/>
  <c r="U121" i="2"/>
  <c r="U119" i="2"/>
  <c r="U118" i="2"/>
  <c r="U116" i="2"/>
  <c r="U113" i="2"/>
  <c r="U114" i="2"/>
  <c r="U115" i="2"/>
  <c r="U117" i="2"/>
  <c r="U112" i="2"/>
  <c r="U111" i="2"/>
  <c r="U110" i="2"/>
  <c r="U109" i="2"/>
  <c r="U107" i="2"/>
  <c r="U108" i="2"/>
  <c r="U106" i="2"/>
  <c r="U104" i="2"/>
  <c r="U105" i="2"/>
  <c r="U102" i="2"/>
  <c r="U103" i="2"/>
  <c r="U100" i="2"/>
  <c r="U101" i="2"/>
  <c r="U99" i="2"/>
  <c r="U96" i="2"/>
  <c r="U97" i="2"/>
  <c r="U98" i="2"/>
  <c r="U95" i="2"/>
  <c r="U94" i="2"/>
  <c r="U93" i="2"/>
  <c r="U91" i="2"/>
  <c r="U92" i="2"/>
  <c r="U90" i="2"/>
  <c r="U89" i="2"/>
  <c r="U87" i="2"/>
  <c r="U88" i="2"/>
  <c r="U86" i="2"/>
  <c r="U85" i="2"/>
  <c r="U84" i="2"/>
  <c r="U83" i="2"/>
  <c r="U82" i="2"/>
  <c r="U81" i="2"/>
  <c r="U80" i="2"/>
  <c r="U79" i="2"/>
  <c r="U78" i="2"/>
  <c r="U77" i="2"/>
  <c r="U73" i="2"/>
  <c r="U74" i="2"/>
  <c r="U75" i="2"/>
  <c r="U76" i="2"/>
  <c r="U72" i="2"/>
  <c r="U71" i="2"/>
  <c r="U70" i="2"/>
  <c r="U69" i="2"/>
  <c r="U68" i="2"/>
  <c r="U67" i="2"/>
  <c r="U66" i="2"/>
  <c r="U64" i="2"/>
  <c r="U65" i="2"/>
  <c r="U62" i="2"/>
  <c r="U63" i="2"/>
  <c r="U61" i="2"/>
  <c r="U59" i="2"/>
  <c r="U60" i="2"/>
  <c r="U54" i="2"/>
  <c r="U55" i="2"/>
  <c r="U56" i="2"/>
  <c r="U57" i="2"/>
  <c r="U58" i="2"/>
  <c r="U53" i="2"/>
  <c r="U52" i="2"/>
  <c r="U51" i="2"/>
  <c r="U49" i="2"/>
  <c r="U50" i="2"/>
  <c r="U48" i="2"/>
  <c r="U47" i="2"/>
  <c r="U46" i="2"/>
  <c r="U45" i="2"/>
  <c r="U44" i="2"/>
  <c r="U42" i="2"/>
  <c r="U43" i="2"/>
  <c r="U39" i="2"/>
  <c r="U40" i="2"/>
  <c r="U41" i="2"/>
  <c r="U36" i="2"/>
  <c r="U37" i="2"/>
  <c r="U38" i="2"/>
  <c r="U30" i="2"/>
  <c r="U33" i="2"/>
  <c r="U34" i="2"/>
  <c r="U35" i="2"/>
  <c r="U32" i="2"/>
  <c r="U8" i="2"/>
  <c r="U9" i="2"/>
  <c r="U10" i="2"/>
  <c r="U11" i="2"/>
  <c r="U7" i="2"/>
  <c r="U6" i="2"/>
  <c r="U5" i="2"/>
  <c r="U21" i="2"/>
  <c r="U22" i="2"/>
  <c r="U23" i="2"/>
  <c r="U24" i="2"/>
  <c r="U25" i="2"/>
  <c r="U26" i="2"/>
  <c r="U27" i="2"/>
  <c r="U28" i="2"/>
  <c r="U29" i="2"/>
  <c r="U31" i="2"/>
  <c r="U3" i="2"/>
  <c r="U4" i="2"/>
  <c r="U12" i="2"/>
  <c r="U13" i="2"/>
  <c r="U14" i="2"/>
  <c r="U15" i="2"/>
  <c r="U16" i="2"/>
  <c r="U17" i="2"/>
  <c r="U18" i="2"/>
  <c r="U19" i="2"/>
  <c r="U20" i="2"/>
  <c r="U2" i="2"/>
</calcChain>
</file>

<file path=xl/sharedStrings.xml><?xml version="1.0" encoding="utf-8"?>
<sst xmlns="http://schemas.openxmlformats.org/spreadsheetml/2006/main" count="1854" uniqueCount="482">
  <si>
    <t xml:space="preserve">SMS </t>
  </si>
  <si>
    <t>Enero</t>
  </si>
  <si>
    <t xml:space="preserve">Mailing </t>
  </si>
  <si>
    <t>Febrero</t>
  </si>
  <si>
    <t>Marzo</t>
  </si>
  <si>
    <t>Abril</t>
  </si>
  <si>
    <t>Mayo</t>
  </si>
  <si>
    <t>Junio</t>
  </si>
  <si>
    <t>Julio</t>
  </si>
  <si>
    <t>Agosto</t>
  </si>
  <si>
    <t>Septiembre</t>
  </si>
  <si>
    <t>Octubre</t>
  </si>
  <si>
    <t>Noviembre</t>
  </si>
  <si>
    <t>Diciembre</t>
  </si>
  <si>
    <t>Consecutivo</t>
  </si>
  <si>
    <t xml:space="preserve">Entidad </t>
  </si>
  <si>
    <t xml:space="preserve">Nombre de la campaña </t>
  </si>
  <si>
    <t>Fecha de la solicitud</t>
  </si>
  <si>
    <t xml:space="preserve">Mes </t>
  </si>
  <si>
    <t xml:space="preserve">Fecha de la prueba </t>
  </si>
  <si>
    <t xml:space="preserve">Fecha envio masivo </t>
  </si>
  <si>
    <t xml:space="preserve">Contenodo del Mensaje </t>
  </si>
  <si>
    <t xml:space="preserve">Servicio </t>
  </si>
  <si>
    <t xml:space="preserve">Fecha de la campaña </t>
  </si>
  <si>
    <t>Mes</t>
  </si>
  <si>
    <t xml:space="preserve">Destinatarios de la prueba </t>
  </si>
  <si>
    <t># Registros base original</t>
  </si>
  <si>
    <t xml:space="preserve"># Registros Base Depurada </t>
  </si>
  <si>
    <t xml:space="preserve">Contactactos efectivos </t>
  </si>
  <si>
    <t xml:space="preserve">Expirados </t>
  </si>
  <si>
    <t>Rechazados</t>
  </si>
  <si>
    <t>No entregados</t>
  </si>
  <si>
    <t xml:space="preserve">Suma de Mensajes Efectivos </t>
  </si>
  <si>
    <t xml:space="preserve">% Efectividad </t>
  </si>
  <si>
    <t xml:space="preserve">Valor </t>
  </si>
  <si>
    <t>Fecha de envio</t>
  </si>
  <si>
    <t xml:space="preserve">Vo. Cliente </t>
  </si>
  <si>
    <t>Prosperidad Social</t>
  </si>
  <si>
    <t xml:space="preserve"> DPS Rumbo al Pilar Solidario - Supercade CAD</t>
  </si>
  <si>
    <t>"Prosperidad Social inicia la preinscripción de adultos mayores para tránsito al Pilar Solidario. De manera atenta lo invitamos a acercarse con su cédula original al SUPERCADE CAD Av. Cra 30 25 - 90, el jueves 18 de septiembre en el horario de 9 a.m. a 4 p.m."</t>
  </si>
  <si>
    <t>• Contacto de la Entidad solicitante para pruebas y confirmación: Lenny Patiño - lenny.patino@prosperidadsocial.gov.co - 3157408889
• José Triana - jose.triana@prosperidadsocial.gov.co - 3133698435</t>
  </si>
  <si>
    <t> </t>
  </si>
  <si>
    <t>Secretaría General</t>
  </si>
  <si>
    <t>SMS_Jornada_de_Servicios_Interinstitucionales_Bosa</t>
  </si>
  <si>
    <t>Asiste a la Jornada de Servicios Interinstitucionales en Bosa el 11 de septiembre, de 8:00 a.m. a 2:00 p.m., en el Centro de Encuentro de Victimas (Calle 69 A Sur #92-47). Servicios gratuitos con entidades del Distrito y la Nacion.</t>
  </si>
  <si>
    <t>68.06%</t>
  </si>
  <si>
    <t>Mensaje difusión Feria A Tu Servicio - Engativá</t>
  </si>
  <si>
    <t>La Feria A Tu Servicio de la Alcaldía Mayor de Bogotá llega este viernes 19 de septiembre al Parque Luis Carlos Galán Sarmiento, en Engativá, desde las 8:00 a.m. hasta las 4:00 p.m.</t>
  </si>
  <si>
    <t>Mensaje de prueba SMS: 16 de septiembre/ números 3223669001, 3123042387, 3043566304, 3016436727, 3133939423,3118587277</t>
  </si>
  <si>
    <t>98.88%</t>
  </si>
  <si>
    <t xml:space="preserve">Asunto: ¡Asiste y participa Feria a tu Servicio! 19 de septiembre 2025
             La Feria a tu servicio de la Alcaldía Mayor de Bogotá llega este viernes 19 de septiembre al Parque Luis Carlos Galán Sarmiento, en Engativá, desde las 8:00 a.m. hasta las 4:00 p.m.
Más de 60 entidades distritales y nacionales ofrecerán más de 200 trámites y servicios gratuitos, entre ellos: salud, empleo, educación, justicia, protección animal, bienestar social, información para migrantes, actividades para jóvenes y niños, entre otros. Además, podrás acceder a vacunación, esterilización de mascotas, cortes de cabello, talleres y asesorías especializadas.
                               Este espacio es organizado por la Secretaría General de la Alcaldía Mayor de Bogotá, con el apoyo de la Alcaldía Local de Engativá y las Juntas de Acción Comunal.
                                                                                       👉 ¡Participa y hagamos juntos una Bogotá más cercana!
                                                                                                    Red CADE en movimiento.
</t>
  </si>
  <si>
    <t>Mensaje de prueba Mailing: 16 de septiembre Con el fin de validar y aprobar la prueba de envío y contenido, agradecemos que previo al envío de email de prueba a los siguientes correos: @Francia Astrid Bermudez Pinto &lt;fbermudez@alcaldiabogota.gov.co&gt;; @Enrique Cusba Garcia &lt;ecusba@alcaldiabogota.gov.co&gt;; @Gloria Patricia Velasco Salcedo &lt;gpvelasco@alcaldiabogota.gov.co&gt;; @Sindy Griselly Cuervo Gomez &lt;sgcuervo@alcaldiabogota.gov.co&gt;; @Brigitte Marcela Quintero Galeano &lt;bmquintero@alcaldiabogota.gov.co&gt; @Karen Johana Sánchez &lt;kjsanchez@alcaldiabogota.gov.co&gt;</t>
  </si>
  <si>
    <t xml:space="preserve">Secretaría Jurídica 	Distrital 								</t>
  </si>
  <si>
    <t>Feria de servicios 19 de septiembre</t>
  </si>
  <si>
    <t xml:space="preserve">Asunto: ¡Asiste y participa en la Feria de Servicios Distritales en la Localidad Engativá este 19 de septiembre!
Te invitamos a la feria de Servicios Distritales, un espacio donde brindaremos orientación a las Entidades sin Ánimo de Lucro.
Recuerda que, por tratarse de una de Servicios Distritales NO es necesario que realices registro ni confirmación de asistencia.
Si tienes alguna pregunta o necesitas más información, no dudes en contactarnos  al teléfono (601) 3813000 extensión 1742
¡Esperamos verte allí!
</t>
  </si>
  <si>
    <t>Agradecemos que previo al envío de email de prueba a los siguientes correos: "Yesica Paola Castro Gutiérrez" &lt;ypcastro@alcaldiabogota.gov.co&gt;; "Enrique Cusba García" &lt;ecusba@alcaldiabogota.gov.co&gt;; "Gloria Patricia Velasco Salcedo" &lt;gpvelasco@alcaldiabogota.gov.co&gt;; "Francia Astrid Bermúdez Pinto" &lt;fbermudez@alcaldiabogota.gov.co&gt;; "Sindy Griselly Cuervo Gomez" &lt;sgcuervo@alcaldiabogota.gov.co&gt;; "Andrés Felipe Forero Oviedo" &lt;afforeroo@secretariajuridica.gov.co&gt;; Diana Catalina Barreto García &lt;dcbarretog@secretariajuridica.gov.co&gt;; María Paula Rueda Mantilla &lt;mpruedam@secretariajuridica.gov.co&gt; con el fin de validar y aprobar la prueba de envío y contenido.</t>
  </si>
  <si>
    <t>85.33 %</t>
  </si>
  <si>
    <t>85.39 %</t>
  </si>
  <si>
    <t>Solicitud mailing - Evento 30 de septiembre</t>
  </si>
  <si>
    <t xml:space="preserve">                                                Asunto: ¡Es mañana! Evento “Aliados por un Futuro Sostenible: Derechos Humanos y Fortalecimiento del Sector Social” - ¡Inscríbete hoy!
Todavía estás a tiempo para registrarte y asistir al evento “Aliados por un Futuro Sostenible: Derechos Humanos y Fortalecimiento del Sector Social”
¡Si ya te registraste, recuerda que la cita es mañana!
📲 Inscríbete aquí
O escanea el siguiente código QR para registrarte:
¡Asegura tu cupo!
</t>
  </si>
  <si>
    <t>Fecha(s) de prueba para aprobación: jueves 18 de septiembre. 2 p.m. Agradecemos que previo al envío de email de prueba a los siguientes correos: "Yesica Paola Castro Gutiérrez" &lt;ypcastro@alcaldiabogota.gov.co&gt;; "Enrique Cusba García" &lt;ecusba@alcaldiabogota.gov.co&gt;; "Gloria Patricia Velasco Salcedo" &lt;gpvelasco@alcaldiabogota.gov.co&gt;; "Sindy Griselly Cuervo Gomez" &lt;sgcuervo@alcaldiabogota.gov.co&gt;; "Camilo Andres Serrano Bernal" caserrano@alcaldiabogota.gov.co "Andrés Felipe Forero Oviedo" &lt;afforeroo@secretariajuridica.gov.co&gt;; Diana Catalina Barreto García &lt;dcbarretog@secretariajuridica.gov.co&gt;; María Paula Rueda Mantilla &lt;mpruedam@secretariajuridica.gov.co&gt;; , con el fin de validar y aprobar la prueba de envío y contenido.</t>
  </si>
  <si>
    <t>84.92 %</t>
  </si>
  <si>
    <t xml:space="preserve">Secretaría General /Prosperidad Social </t>
  </si>
  <si>
    <t>Campaña de salida DPS Rumbo al Pilar Solidario – Súper Cade Manitas</t>
  </si>
  <si>
    <t>1. Prosperidad Social inicia la inscripción de adultos mayores al Pilar Solidario. Lo invitamos a acercarse con su cedula original al SuperCADE Manitas CRA 18 L 70B - 50 sur, el martes 23 de septiembre en el horario de 9 a.m. a 4 p.m.</t>
  </si>
  <si>
    <t>Fecha(s) de prueba para aprobación: viernes 19 de septiembre. 2 p.m.  Agradecemos que antes del envió de los mensajes masivos, se remita mensaje de pruebas a los números de @Gloria Patricia Velasco 3043566304, @Francia Astrid Bermudez Pinto 3143300959 @Yesica Paola Castro Gutiérrez 3223669001 @Sindy Griselly Cuervo Gomez 3016436727 @Camilo Andres Serrano Bernal 3114649793 y a los números de contacto Lenny Patiño - lenny.patino@prosperidadsocial.gov.co - 3157408889 José Triana - jose.triana@prosperidadsocial.gov.co - 3133698435, con el fin de validar prueba de envío y contenido.</t>
  </si>
  <si>
    <t>Solicitud envío masivo SMS - Evento 30 de septiembre</t>
  </si>
  <si>
    <t xml:space="preserve">       ¿Quieres seguir fortaleciendo tu ESAL? Te invitamos a Aliados por un Futuro sostenible: Derechos Humanos y Fortalecimiento del Sector Social este 30 de septiembre desde las 9 am. Regístrate en https://forms.gle/iA2pzyucyvdTW4Qe9 </t>
  </si>
  <si>
    <t>Fecha(s) de prueba para aprobación: jueves 19 de septiembre. 10 a.m.  Agradecemos que antes del envió de los mensajes masivos, se remita mensaje de pruebas a los números de @Gloria Patricia Velasco 3043566304, @Francia Astrid Bermudez Pinto 3143300959 @Yesica Paola Castro Gutiérrez 3223669001 @Sindy Griselly Cuervo Gomez 3016436727 @Camilo Andres Serrano Bernal 3114649793 y a los números @Andrés Felipe Forero Oviedo 3186304477</t>
  </si>
  <si>
    <t>96.43%</t>
  </si>
  <si>
    <t>96.48%</t>
  </si>
  <si>
    <t>96.46%</t>
  </si>
  <si>
    <t>1. Prosperidad Social inicia la inscripción de adultos mayores al Pilar Solidario. Lo invitamos a acercarse con su cédula original al SuperCADE Manitas, Carrera 18 L No. 70B - 50 sur, el viernes 26 de septiembre en el horario de 9 a.m. a 4 p.m.</t>
  </si>
  <si>
    <t>Fecha(s) de prueba para aprobación: miércoles 24 de septiembre. 10 a.m. Agradecemos que antes del envió de los mensajes masivos, se remita mensaje de pruebas a los números de @Gloria Patricia Velasco 3043566304, @Francia Astrid Bermudez Pinto 3143300959 @Yesica Paola Castro Gutiérrez 3223669001 @Sindy Griselly Cuervo Gomez 3016436727 @Camilo Andrés Serrano Bernal 3114649793 y a los números de contacto Lenny Patiño - lenny.patino@prosperidadsocial.gov.co - 3157408889 José Triana - jose.triana@prosperidadsocial.gov.co - 3133698435, con el fin de validar prueba de envío y contenido.</t>
  </si>
  <si>
    <t>97.90%</t>
  </si>
  <si>
    <t xml:space="preserve"> Campaña de salida DPS Rumbo al Pilar Solidario - Cade La Victoria</t>
  </si>
  <si>
    <t>1. Prosperidad Social inicia la inscripción de adultos mayores al Pilar Solidario. Lo invitamos a acercarse con su cédula original al CADE La Victoria Diagonal 37 sur No. 2 - 00 este, el miércoles 24 de septiembre en el horario de 9 a.m. a 4 p.m</t>
  </si>
  <si>
    <t>Fecha(s) de prueba para aprobación: lunes 22 de septiembre. 3 p.m. Agradecemos que antes del envió de los mensajes masivos, se remita mensaje de pruebas a los números de @Gloria Patricia Velasco 3043566304, @Francia Astrid Bermudez Pinto 3143300959 @Yesica Paola Castro Gutiérrez 3223669001 @Sindy Griselly Cuervo Gomez 3016436727 @Camilo Andres Serrano Bernal 3114649793 y a los números de contacto Lenny Patiño - lenny.patino@prosperidadsocial.gov.co - 3157408889 José Triana - jose.triana@prosperidadsocial.gov.co - 3133698435, con el fin de validar prueba de envío y contenido.</t>
  </si>
  <si>
    <t>97%%</t>
  </si>
  <si>
    <t xml:space="preserve">Campaña de salida DPS Rumbo al Pilar Solidario - Supercade Américas </t>
  </si>
  <si>
    <t xml:space="preserve">   Prosperidad Social inicia la inscripción de adultos mayores al Pilar Solidario. Lo invitamos a acercarse con su cedula original al SUPER CADE Américas Ak. 86 43-55 sur, el viernes 19 de septiembre en el horario de 9 a.m. a 4 p.m.</t>
  </si>
  <si>
    <t>Fecha(s) de prueba para aprobación: jueves 18 de septiembre. 10 a.m.  Agradecemos que antes del envió de los mensajes masivos, se remita mensaje de pruebas a los números de @Gloria Patricia Velasco 3043566304, @Francia Astrid Bermudez Pinto 3143300959 @Yesica Paola Castro Gutiérrez 3223669001 @Sindy Griselly Cuervo Gomez 3016436727 @Camilo Andres Serrano Bernal 3114649793 y a los números de contacto Lenny Patiño - lenny.patino@prosperidadsocial.gov.co - 3157408889 José Triana - jose.triana@prosperidadsocial.gov.co - 3133698435, con el fin de validar prueba de envío y contenido.</t>
  </si>
  <si>
    <t>98.66%</t>
  </si>
  <si>
    <t xml:space="preserve">Campaña DPS Rumbo al Pilar Solidario – SuperCADE Suba </t>
  </si>
  <si>
    <t>1. Prosperidad Social fortalece la inscripción de adultos mayores al Pilar Solidario. Lo invitamos a acercarse con su cédula original al SuperCADE Suba, Avenida Calle 145 No. 103B - 90, el miércoles 01 de octubre en el horario de 9 a.m. a 4 p.m.</t>
  </si>
  <si>
    <t>Gloria Patricia Velasco 3043566304, @Francia Astrid Bermúdez Pinto 3143300959 @Yesica Paola Castro Gutiérrez 3223669001 @Sindy Griselly Cuervo Gomez 3016436727 @Camilo Andrés Serrano Bernal 3114649793 y a los números de contacto Lenny Patiño - lenny.patino@prosperidadsocial.gov.co - 3157408889 José Triana - jose.triana@prosperidadsocial.gov.co - 3133698435, con el fin de validar prueba de envío y contenido.</t>
  </si>
  <si>
    <t>Campaña de salida DPS Rumbo al Pilar Solidario - Supercade Américas 22-09-2025</t>
  </si>
  <si>
    <t>1.                 Prosperidad Social inicia la inscripción de adultos mayores al Pilar Solidario. Lo invitamos a acercarse con su cédula original al SuperCADE Américas Ak. 86 43-55 sur, el lunes 22 de septiembre en el horario de 9 a.m. a 4 p.m.</t>
  </si>
  <si>
    <t>Fondo de Prestaciones Económicas, Cesantías y Pensiones de Bogotá_FONCEP</t>
  </si>
  <si>
    <t>Solicitud apoyo de campaña SMS -FONCEP se toma tu localidad - Kennedy</t>
  </si>
  <si>
    <t xml:space="preserve">Octubre </t>
  </si>
  <si>
    <t>1. FONCEP se toma Kennedy. Te esperamos este 15 de octubre, de 8 de la mañana a 12 del mediodía en el Coliseo Castilla. Inscríbete en: https://forms.office.com/r/3rM0DBYTFv?origin=lprLink</t>
  </si>
  <si>
    <t>Fecha(s) de prueba para aprobación: lunes 29 de septiembre 10 a.m. Agradecemos que antes del envió de los mensajes masivos, se remita mensaje de pruebas a los números de @Gloria Patricia Velasco 3043566304, @Francia Astrid Bermúdez Pinto 3143300959 @Yesica Paola Castro Gutiérrez 3223669001 @Sindy Griselly Cuervo Gomez 3016436727 @Camilo Andrés Serrano Bernal 3114649793 y al número de contacto Andrea Ríos Lagos - amrios@foncep.gov.co - 3108495908, con el fin de validar prueba de envío, contenido y aprobación.</t>
  </si>
  <si>
    <t>Campaña DPS Rumbo al Pilar Solidario – SuperCADE Engativá</t>
  </si>
  <si>
    <t>1. Prosperidad Social fortalece la inscripción de adultos mayores al Pilar Solidario. Lo invitamos a acercarse con su cédula original al SuperCADE Engativá, Transversal 113B # 66 - 54, el jueves 02 de octubre en el horario de 9 a.m. a 4 p.m.</t>
  </si>
  <si>
    <t>Destinatarios de la prueba:
Gloria Patricia Velasco 3043566304
Francia Astrid Bermúdez Pinto 3143300959
Yesica Paola Castro Gutiérrez 3223669001
Sindy Griselly Cuervo Gomez 3016436727
Camilo Andrés Serrano Bernal 3114649793
 Lenny Patiño 3157408889
José Triana 3133698435.</t>
  </si>
  <si>
    <t xml:space="preserve">Campaña DPS Rumbo al Pilar Solidario – Super Cade 20 de Julio </t>
  </si>
  <si>
    <t>Prosperidad Social fortalece la inscripción de adultos mayores al Pilar Solidario. Lo invitamos a acercarse con su cédula original al SuperCADE 20 de Julio, Carrera 5A # 30C 20 sur, el viernes 03 de octubre en el horario de 9 a.m. a 4 p.m.</t>
  </si>
  <si>
    <t>Fecha(s) de prueba para aprobación: miércoles 03 de octubre. 4 p.m. Agradecemos que antes del envió de los mensajes masivos, se remita mensaje de pruebas a los números de @Gloria Patricia Velasco 3043566304, @Francia Astrid Bermúdez Pinto 3143300959 @Yesica Paola Castro Gutiérrez 3223669001 @Sindy Griselly Cuervo Gomez 3016436727 @Camilo Andrés Serrano Bernal 3114649793 y a los números de contacto Lenny Patiño - lenny.patino@prosperidadsocial.gov.co - 3157408889 José Triana - jose.triana@prosperidadsocial.gov.co - 3133698435, con el fin de validar prueba de envío y contenido.</t>
  </si>
  <si>
    <t>Campaña DPS Rumbo al Pilar Solidario – SuperCADE Américas</t>
  </si>
  <si>
    <t xml:space="preserve">1. Prosperidad Social fortalece la inscripción de adultos mayores al Pilar Solidario. Lo invitamos a acercarse con su cédula original al SuperCADE Américas, Carrera 86 # 43-55 sur, el lunes 06 de octubre en el horario de 9 a.m. a 4 p.m. </t>
  </si>
  <si>
    <t>Fecha(s) de prueba para aprobación: viernes 03 de octubre. 10 a.m. Agradecemos que antes del envió de los mensajes masivos, se remita mensaje de pruebas a los números de @Gloria Patricia Velasco 3043566304, @Francia Astrid Bermúdez Pinto 3143300959 @Yesica Paola Castro Gutiérrez 3223669001 @Sindy Griselly Cuervo Gomez 3016436727 @Camilo Andrés Serrano Bernal 3114649793 y a los números de contacto Lenny Patiño - lenny.patino@prosperidadsocial.gov.co - 3157408889 José Triana - jose.triana@prosperidadsocial.gov.co - 3133698435, con el fin de validar prueba de envío y contenido.</t>
  </si>
  <si>
    <t>Campaña DPS Rumbo al Pilar Solidario – Super Cade 20 de Julio</t>
  </si>
  <si>
    <t>1. Prosperidad Social fortalece la inscripción de adultos mayores al Pilar Solidario. Lo invitamos a acercarse con su cédula original al Super CADE 20 de Julio, Carrera 5A # 30C - 20 sur, el martes 07 de octubre en el horario de 9 a.m. a 4 p.m.</t>
  </si>
  <si>
    <t xml:space="preserve"> Campaña DPS Rumbo al Pilar Solidario – Super Cade Suba</t>
  </si>
  <si>
    <t>Prosperidad Social fortalece la inscripción de adultos mayores al Pilar Solidario. Lo invitamos a acercarse con su cédula original al SuperCADE Suba, Avenida Calle 145 # 103 B - 90, el miércoles 08 de octubre en el horario de 9 a.m. a 4 p.m.</t>
  </si>
  <si>
    <t>Antes del envío masivo de los mensajes, se solicita remitir el mensaje de prueba a los siguientes destinatarios designados para verificación de contenido y formato:
Gloria Patricia Velasco – 3043566304
Francia Astrid Bermúdez Pinto – 3143300959
Yesica Paola Castro Gutiérrez – 3223669001
Sindy Griselly Cuervo Gómez – 3016436727
Camilo Andrés Serrano Bernal – 3114649793
Lenny Patiño – lenny.patino@prosperidadsocial.gov.co
 – 3157408889
José Triana – jose.triana@prosperidadsocial.gov.co
 – 3133698435</t>
  </si>
  <si>
    <t>Oficina Consejería Distrital de Paz, Víctimas y Reconciliación</t>
  </si>
  <si>
    <t>Información para solicitud envío mensaje SMS Línea 195</t>
  </si>
  <si>
    <t>Si eres un grupo que promueve la convivencia, el diálogo o la paz, participa en #ReconciliaBogotá. La Consejería de Paz, Víctimas y Reconciliación y OIM apoyarán con bienes y servicios de entre 10 y 80 millones a 10 iniciativas. Postúlate hasta el 27 de octubre en victimasbogota.gov.co/convocatorias</t>
  </si>
  <si>
    <t>Gloria Patricia Velasco 3043566304, @Francia Astrid Bermúdez Pinto 3143300959 @Yesica Paola Castro Gutiérrez 3223669001 @Sindy Griselly Cuervo Gomez 3016436727 @Camilo Andrés Serrano Bernal 3114649793 y al número de contacto 316 8319305, con el fin de validar prueba de envío y contenido.</t>
  </si>
  <si>
    <t>Subsecretaría</t>
  </si>
  <si>
    <t>Feria A Tu Servicio Puente Aranda</t>
  </si>
  <si>
    <t>¡Mañana llega la Feria A Tu Servicio a Puente Aranda! Te esperamos en el Parque Galán, de 8:00 a.m. a 4:00 p.m. accede en un solo lugar a servicios, trámites y orientación de entidades distritales. ¡Resuelve tus necesidades fáciles, rápido y cerca de tu comunidad!</t>
  </si>
  <si>
    <t>3223669001, 3123042387, 3043566304, 3016436727, 3133939423,3118587277</t>
  </si>
  <si>
    <t xml:space="preserve">Asunto: ¡Asiste y participa en la Feria de Servicios Distritales en la Localidad Puente Aranda este 17 de octubre!
Te invitamos a la feria de Servicios Distritales, un espacio donde brindaremos orientación a las Entidades sin Ánimo de Lucro.
Recuerda que, por tratarse de una de Servicios Distritales NO es necesario que realices registro ni confirmación de asistencia.
Si tienes alguna pregunta o necesitas más información, no dudes en contactarnos  al teléfono (601) 3813000 extensión 1742
¡Esperamos verte allí!
</t>
  </si>
  <si>
    <t>"Yesica Paola Castro Gutiérrez" &lt;ypcastro@alcaldiabogota.gov.co&gt;; "Enrique Cusba García" &lt;ecusba@alcaldiabogota.gov.co&gt;; "Gloria Patricia Velasco Salcedo" &lt;gpvelasco@alcaldiabogota.gov.co&gt;; "Sindy Griselly Cuervo Gomez" &lt;sgcuervo@alcaldiabogota.gov.co&gt;; "Camilo Andrés Serrano Bernal" caserrano@alcaldiabogota.gov.co "Andrés Felipe Forero Oviedo" &lt;afforeroo@secretariajuridica.gov.co&gt;; Diana Catalina Barreto García &lt;dcbarretog@secretariajuridica.gov.co&gt;; María Paula Rueda Mantilla &lt;mpruedam@secretariajuridica.gov.co&gt;; , con el fin de validar y aprobar la prueba de envío y contenido.</t>
  </si>
  <si>
    <t>Campaña De Convocatoria – Activación De La Vocación Del Supercade Suba</t>
  </si>
  <si>
    <t>1. ¡Suba activa su vocación! Te esperamos el 28 de octubre a las 8:00 a.m. en el SuperCADE Suba, las entidades del Distrito se unen para ofrecerte rutas de servicio para fortalecer y formalizar tu emprendimiento. ¡Ven y descubre soluciones adaptadas a tus necesidades!</t>
  </si>
  <si>
    <t>Gloria Patricia Velasco 3043566304, @Francia Astrid Bermúdez Pinto 3143300959 @Yesica Paola Castro Gutiérrez 3223669001 @Sindy Griselly Cuervo Gomez 3016436727 @Camilo Andrés Serrano Bernal 3114649793 y a los números de contacto @Carolina Castro Arellana 315 8723672</t>
  </si>
  <si>
    <t>Campaña de Convocatoria – Activación de la Vocación del SuperCADE Suba</t>
  </si>
  <si>
    <t>¡Recuerda que mañana, 28 de octubre, Suba activa su vocación!
Te esperamos a las 8:00 a.m. en el SuperCADE Suba, donde las entidades del Distrito se unen para ofrecerte rutas de servicio que te ayudarán a fortalecer y formalizar tu emprendimiento.
¡Ven y descubre soluciones adaptadas a tus necesidades!</t>
  </si>
  <si>
    <t xml:space="preserve">"Yesica Paola Castro Gutiérrez" &lt;ypcastro@alcaldiabogota.gov.co&gt;; 
"Enrique Cusba García" &lt;ecusba@alcaldiabogota.gov.co&gt;; 
"Gloria Patricia Velasco Salcedo" &lt;gpvelasco@alcaldiabogota.gov.co&gt;; 
"Sindy Griselly Cuervo Gomez" &lt;sgcuervo@alcaldiabogota.gov.co&gt;;
"Francia Astrid Bermúdez Pinto" &lt;fbermudez@alcaldiabogota.gov.co&gt; 
"Carolina Castro Arellana"  &lt; ccastro@alcaldiabogota.gov.co&gt;, con el fin de validar y aprobar la prueba de envío y contenido 
</t>
  </si>
  <si>
    <t>90.51%</t>
  </si>
  <si>
    <t>Solicitud mailing - IVC al barrio con integración 15 de octubre</t>
  </si>
  <si>
    <t xml:space="preserve">Asunto: ¡Asiste y participa en IVC al barrio con Integración! 15 de octubre de 2025
¿Haces parte de una Entidad Sin Ánimo de Lucro y estás interesado en contratar con entidades públicas del Distrito Capital?
Te invitamos a IVC al barrio con Integración, un espacio donde brindaremos orientación a las Entidades Sin Ánimo de Lucro.
Si deseas asistir, regístrate en este formulario, tenemos cupos limitados.
Si tienes alguna pregunta o necesitas más información, no dudes en contactarnos al correo electrónico personasjur@secretariajuridica.gov.co  o al teléfono (601) 3813000 extensión 1742
¡Esperamos verte allí!
</t>
  </si>
  <si>
    <t xml:space="preserve">Solicitud mailing - IVC al barrio con la CCB 14 de noviembre	</t>
  </si>
  <si>
    <t xml:space="preserve">Noviembre </t>
  </si>
  <si>
    <t>Asunto: ¡Asiste y participa en IVC al barrio con la CCB! – 14 de noviembre de 2025
¡La Cámara de Comercio de Bogotá abre sus puertas a IVC al barrio!
Te invitamos a IVC al barrio con la CCB, un espacio donde brindaremos orientación a las Entidades Sin Ánimo de Lucro.
Si deseas asistir, regístrate en este formulario; tenemos cupos limitados.
Si tienes alguna pregunta o necesitas más información, no dudes en contactarnos al correo electrónico personasjur@secretariajuridica.gov.co o al teléfono (601) 3813000 extensión 1742.
¡Esperamos verte allí!
Agradecemos el envío del reporte para ser compartido con la Entidad.</t>
  </si>
  <si>
    <t xml:space="preserve">"Yesica Paola Castro Gutiérrez" &lt;ypcastro@alcaldiabogota.gov.co&gt;; 
"Enrique Cusba García" &lt;ecusba@alcaldiabogota.gov.co&gt;; 
"Gloria Patricia Velasco Salcedo" &lt;gpvelasco@alcaldiabogota.gov.co&gt;;
 "Sindy Griselly Cuervo Gomez" &lt;sgcuervo@alcaldiabogota.gov.co&gt;; "
"Francia Astrid Bermúdez Pinto" fbermudez@alcaldiabogota.gov.co;
 "Andrés Felipe Forero Oviedo" &lt;afforeroo@secretariajuridica.gov.co&gt;; 
“Diana Catalina Barreto García” &lt;dcbarretog@secretariajuridica.gov.co&gt;;
 “María Paula Rueda Mantilla” &lt;mpruedam@secretariajuridica.gov.co&gt;; </t>
  </si>
  <si>
    <t>85.68%</t>
  </si>
  <si>
    <t>85.6%</t>
  </si>
  <si>
    <t>85.52%</t>
  </si>
  <si>
    <t>Dirección Distrital de Política Jurídica</t>
  </si>
  <si>
    <t xml:space="preserve"> ¡Participa en el XXII Seminario Internacional de Gestión Jurídica y Derecho Público 2025!</t>
  </si>
  <si>
    <t xml:space="preserve">Asunto: ¡Participa en el XXII Seminario Internacional de Gestión Jurídica y Derecho Público 2025!
La Secretaría Jurídica Distrital de la Alcaldía Mayor de Bogotá invita al cuerpo de abogados del Distrito Capital a participar en el XXII Seminario Internacional de Gestión Jurídica y Derecho Público 2025, que se llevará a cabo el miércoles 19 de noviembre en el Auditorio Huitaca de la Alcaldía Mayor de Bogotá.
Este espacio académico abordará temas clave como el litigio estructural, la contratación pública, el arbitraje internacional y la resolución de controversias en infraestructura estatal. Contará con la participación de expertos nacionales e internacionales, paneles especializados y conferencias magistrales.
📅 Fecha: miércoles 19 de noviembre de 2025
📍 Lugar: Auditorio Huitaca – Alcaldía Mayor de Bogotá
🕘 Hora de inicio: 7:00 a.m. (registro)
🔗 Inscripción gratuita: Cupos limitados. https://forms.gle/dHerbYs6GYjMiZkX9   
  ¡Haz parte de este espacio de diálogo jurídico y construcción institucional!
</t>
  </si>
  <si>
    <t xml:space="preserve">Para la solicitud de la campaña, la Entidad deberá enviar solicitud de campaña al Dr. Enrique Cusba García &lt;ecusba@alcaldiabogota.gov.co&gt; con copia a "Francia Astrid Bermúdez Pinto" &lt;fbermudez@alcaldiabogota.gov.co&gt;; "Gloria Patricia Velasco Salcedo" &lt;gpvelasco@alcaldiabogota.gov.co&gt;; "Sindy Griselly Cuervo Gomez" &lt;sgcuervo@alcaldiabogota.gov.co&gt;; "Yesica Paola Castro Gutiérrez" &lt;ypcastro@alcaldiabogota.gov.co&gt; </t>
  </si>
  <si>
    <t xml:space="preserve">Asunto: ¡Participa en el XXII Seminario Internacional de Gestión Jurídica y Derecho Público 2025!
La Secretaría Jurídica Distrital de la Alcaldía Mayor de Bogotá invita al cuerpo de abogados del Distrito Capital a participar en el XXII Seminario Internacional de Gestión Jurídica y Derecho Público 2025, que se llevará a cabo el miércoles 19 de noviembre en el Auditorio Huitaca de la Alcaldía Mayor de Bogotá.
Este espacio académico abordará temas clave como el litigio estructural, la contratación pública, el arbitraje internacional y la resolución de controversias en infraestructura estatal. Contará con la participación de expertos nacionales e internacionales, paneles especializados y conferencias magistrales.
📅 Fecha: miércoles 19 de noviembre de 2025
📍 Lugar: Auditorio Huitaca – Alcaldía Mayor de Bogotá
🕘 Hora de inicio: 7:00 a.m. (registro)
🔗 Inscripción gratuita: Cupos limitados. https://forms.gle/dHerbYs6GYjMiZkX9   
  ¡Haz parte de este espacio de diálogo jurídico y construcción institucional!
</t>
  </si>
  <si>
    <t xml:space="preserve">Asunto: ¡Participa en el XXII Seminario Internacional de Gestión Jurídica y Derecho Público 2025!
La Secretaría Jurídica Distrital de la Alcaldía Mayor de Bogotá invita al cuerpo de abogados del Distrito Capital a participar en el XXII Seminario Internacional de Gestión Jurídica y Derecho Público 2025, que se llevará a cabo el miércoles 19 de noviembre en el Auditorio Huitaca de la Alcaldía Mayor de Bogotá.
Este espacio académico abordará temas clave como el litigio estructural, la contratación pública, el arbitraje internacional y la resolución de controversias en infraestructura estatal. Contará con la participación de expertos nacionales e internacionales, paneles especializados y conferencias magistrales.
📅 Fecha: miércoles 19 de noviembre de 2025
📍 Lugar: Auditorio Huitaca – Alcaldía Mayor de Bogotá
🕘 Hora de inicio: 7:00 a.m. (registro)
🔗 Inscripción gratuita: Cupos limitados. https://forms.gle/dHerbYs6GYjMiZkX9  
  ¡Haz parte de este espacio de diálogo jurídico y construcción institucional!
</t>
  </si>
  <si>
    <t>Feria A Tu Servicio Tunal</t>
  </si>
  <si>
    <t>La Feria A Tu Servicio de la AlcaldÃ­a Mayor de BogotÃ¡ llega este viernes 7 de noviembre a la plazoleta del Centro Comercial Ciudad Tunal en Tunjuelito, desde las 8:00 a.m. hasta las 4:00 p.m.â†²Este espacio lleva las entidades al territorio para que la ciudadanÃ­a acceda, en un solo lugar, a mÃºltiples trÃ¡mites y servicios de manera fÃ¡cil, cercana y gratuita.â†²Â¡Participa y hagamos juntos una BogotÃ¡ mÃ¡s cercana!</t>
  </si>
  <si>
    <t xml:space="preserve"> @Gloria Patricia Velasco 3043566304,
 @Francia Astrid Bermúdez Pinto 3143300959
@Yesica Paola Castro Gutiérrez 3223669001 
@Sindy Griselly Cuervo Gomez 3016436727 
@Enrique Cusba García 3133939423
y a los números
@Brigitte Marcela Quintero Galeano 3123042387
@Karen Johana Sánchez 3118587277
</t>
  </si>
  <si>
    <t xml:space="preserve">Asunto: ¡Asiste y participa Feria a tu Servicio! 7 de noviembre 2025
       La Feria A Tu Servicio de la Alcaldía Mayor de Bogotá llega este viernes 7 de noviembre a la Plazoleta del Centro Comercial Ciudad Tunal, en Tunjuelito, desde las 8:00 a.m. hasta las 4:00 p.m.
Durante la jornada, más de 60 entidades distritales y nacionales ofrecerán más de 200 trámites y servicios gratuitos, entre ellos: salud, empleo, educación, justicia, bienestar social, atención para población migrante, orientación para jóvenes, actividades para niños, protección animal y mucho más.
                                                        Podrás acceder a: Vacunación, Esterilización de mascotas, Cortés de cabello, Talleres y asesorías especializadas,
                                                       Este espacio es organizado por la Secretaría General de la Alcaldía Mayor de Bogotá, con el apoyo de la Alcaldía Local de Tunjuelito.
         👉 ¡Participa y hagamos juntos una Bogotá más cercana
            Red CADE en movimiento.
</t>
  </si>
  <si>
    <t>@Francia Astrid Bermúdez Pinto &lt;fbermudez@alcaldiabogota.gov.co&gt;;
@Enrique Cusba García &lt;ecusba@alcaldiabogota.gov.co&gt;;
@Gloria Patricia Velasco Salcedo &lt;gpvelasco@alcaldiabogota.gov.co&gt;;
@Sindy Griselly Cuervo Gomez &lt;sgcuervo@alcaldiabogota.gov.co&gt;;
 @Brigitte Marcela Quintero Galeano &lt;bmquintero@alcaldiabogota.gov.co&gt;
 @Karen Johana Sánchez &lt;kjsanchez@alcaldiabogota.gov.co&gt;</t>
  </si>
  <si>
    <t>Solicitud de apoyo para Convocatorias Emprendópolis SuperCADEs Bosa y Suba</t>
  </si>
  <si>
    <t>1.	Aplicante de Emprendópolis, sabemos que quieres formarte y acceder a capitalización para tu negocio, pero algunos de los documentos de aplicación continúan con observaciones. Te invitamos el 12 de noviembre, de 8:00 a.m. a 4:00 p.m., al SuperCADE Bosa (Avenida Calle 57 R Sur No. 72 D -12); donde la SDDE, la DIAN y la Cámara de Comercio de Bogotá te ayudarán a subsanarlas.</t>
  </si>
  <si>
    <t xml:space="preserve">@Gloria Patricia Velasco 3043566304,
 @Francia Astrid Bermúdez Pinto 3143300959
@Yesica Paola Castro Gutiérrez 3223669001 
@Sindy Griselly Cuervo Gomez 3016436727 
@Enrique Cusba García 3133939423
y a los números
@Brigitte Marcela Quintero Galeano 3123042387
@Karen Johana Sánchez 3118587277
</t>
  </si>
  <si>
    <t>ATENEA</t>
  </si>
  <si>
    <t>Solicitud campaña outbound y SMS</t>
  </si>
  <si>
    <t>1.	Llegó el día, te esperamos mañana a las 7:30 a.m. en el Palacio de los Deportes en el Festival Conéctate con el empleo, no te lo pierdas. Organiza ATENEA</t>
  </si>
  <si>
    <t xml:space="preserve">@Gloria Patricia Velasco 3043566304, 
@Francia Astrid Bermúdez Pinto 3143300959
@Yesica Paola Castro Gutiérrez 3223669001
@Sindy Griselly Cuervo Gomez 3016436727 
y al número de contacto Ana Lucia Echeverri Medina 3133897135 aecheverri@agenciaatenea.gov.co, con el fin de validar prueba de envío y contenido.
</t>
  </si>
  <si>
    <t>Veeduría  Distrital</t>
  </si>
  <si>
    <t xml:space="preserve"> Solicitud divulgación - Encuesta de Percepción de Confianza Institucional</t>
  </si>
  <si>
    <t>1.	¿Cuánta confianza tienes en las entidades del Distrito? Responde esta encuesta que nos ayudará a medir cómo avanza la confianza en Bogotá. Es anónima y toma menos de 10 minutos. Compártela con tus amigos, familiares y conocidos, todos pueden participar. Enlace: https://forms.gle/QsZmTGG2uEjEfYDn8</t>
  </si>
  <si>
    <t xml:space="preserve">                                                                     Asunto: Encuesta de Percepción de Confianza Institucional 2025. 
                                                                                Te saludamos desde la Veeduría Distrital 👋
                                                  Te has preguntado ¿cuánto confías en las entidades del distrito? O ¿Cómo ha sido tu experiencia en solicitar un trámite? 
Participa ya en la segunda versión de la Encuesta de Percepción de Confianza Institucional, la cual busca conocer qué piensan las personas que viven o tienen alguna relación con la ciudad sobre las instituciones distritales. Esta encuesta es anónima, y todos los mayores de 18 años están invitados a responderla. Compártela con tus amigos, familiares y conocidos, y suma tu voz a esta iniciativa. 
                                                                                Enlace: https://forms.gle/QsZmTGG2uEjEfYDn8
</t>
  </si>
  <si>
    <t>84.50%</t>
  </si>
  <si>
    <t>@Gloria Patricia Velasco 3043566304, 
@Francia Astrid Bermúdez Pinto 3143300959
@Yesica Paola Castro Gutiérrez 3223669001
@Sindy Griselly Cuervo Gomez 3016436727 
Laura Inés Oliveros Amaya - loliveros@veeduriadistrital.gov.co- 3163972160 | Jaime Andrés Sánchez Santander jasanchez@veeduriadistrital.gov.co - 3214082574</t>
  </si>
  <si>
    <t>Campaña Conexión Social para Víctimas</t>
  </si>
  <si>
    <t xml:space="preserve">Mensaje para la base de datos SUBA:
         Eres beneficiario del programa Conexión Social de la Alcaldía Mayor, que te brinda internet gratuito en tu hogar con ETB. Acércate ya al CDC Tibabuyes (Cll 144 #136A-65) para agendar la instalación sin costos. Horario: lun–vie 8 a.m. – 4     p.m. y sáb 8 a.m.– 12 p.m.
</t>
  </si>
  <si>
    <t xml:space="preserve">@Gloria Patricia Velasco 3043566304, 
@Francia Astrid Bermúdez Pinto 3143300959
@Yesica Paola Castro Gutiérrez 3223669001 
@Sindy Griselly Cuervo Gomez y al número
Camila Gómez Duarte. cgomez@alcaldiabogota.gov.co 3124484832
</t>
  </si>
  <si>
    <t xml:space="preserve">Mensaje para la base de datos BOSA:
    Eres beneficiario del programa Conexión Social de la Alcaldía Mayor, que te brinda internet gratuito en tu hogar con ETB. Acércate ya al CDC Porvenir (Cra. 100 # 52 – 24 Sur) para agendar la instalación sin costos. Horario: lun–vie 8 a.m. – 4     p.m. y sáb 8 a.m.– 12 p.m.
</t>
  </si>
  <si>
    <t>Feria Usaquén</t>
  </si>
  <si>
    <t xml:space="preserve">¡Usaquén, llega la Feria A Tu Servicio!
Este viernes 28 de noviembre, la Alcaldía Mayor de Bogotá estará en el parque El Codito con más de 2.000 oportunidades de empleo, más de 200 servicios gratuitos y actividades para toda la familia. La jornada se realizará de 9:00 a.m. a 3:00 p.m.
Durante el evento podrás acceder a trámites de salud como vacunación y afiliación a EPS, actualización de Sisbén e Ingreso Mínimo Garantizado, orientación jurídica, acompañamiento psicosocial, programas para mujeres, personas mayores, jóvenes y población migrante. También habrá corte de cabello sin costo, actividades culturales, espacios infantiles, asesorías para emprendimientos y 120 cupos para esterilización de perros y gatos.
La feria es organizada por la Secretaría General de la Alcaldía Mayor de Bogotá con apoyo de la Alcaldía Local de Usaquén, con el propósito de acercar soluciones reales, eliminar barreras y fortalecer la confianza entre ciudadanía e instituciones.
📍 Parque El Codito – Carrera 2B #186B–44
📅 Viernes 28 de noviembre
⏰ 9:00 a.m. a 3:00 p.m.
Red CADE A Tu Servicio: oportunidades cerca de tu vida.
</t>
  </si>
  <si>
    <t xml:space="preserve">@Francia Astrid Bermúdez Pinto &lt;fbermudez@alcaldiabogota.gov.co&gt;; 
@Enrique Cusba García &lt;ecusba@alcaldiabogota.gov.co&gt;; 
@Gloria Patricia Velasco Salcedo &lt;gpvelasco@alcaldiabogota.gov.co&gt;; 
@Sindy Griselly Cuervo Gomez &lt;sgcuervo@alcaldiabogota.gov.co&gt;;
 @Brigitte Marcela Quintero Galeano &lt;bmquintero@alcaldiabogota.gov.co&gt;
 @Karen Johana Sánchez &lt;kjsanchez@alcaldiabogota.gov.co&gt;; con el fin de validar y aprobar la prueba de envío y contenido 
</t>
  </si>
  <si>
    <t>1.	¡Usaquén, llega la Feria A Tu Servicio! Un espacio donde la Alcaldía Mayor de Bogotá acerca trámites, empleo y bienestar directamente a tu localidad. Este viernes 28 de noviembre estaremos en el parque El Codito, con más de 2.000 oportunidades de empleo, 200 servicios gratuitos y actividades para toda la familia. Horario: 9:00 a.m. a 3:00 p.m.</t>
  </si>
  <si>
    <t xml:space="preserve">Solicitud de apoyo Campaña convocatoria activación vocación CADE Yomasa	</t>
  </si>
  <si>
    <t xml:space="preserve">Diciembre </t>
  </si>
  <si>
    <t>1.	Yomasa activa su vocación de integración local para víctimas del conflicto armado. Te esperamos el 3 de diciembre a las 8:00 a.m. en el nuevo punto de atención CADE-Centro de Encuentro Yomasa en donde las entidades distritales y nacionales se unen para ofrecerte rutas de servicio orientadas a la integración local de la población víctima del conflicto armado.</t>
  </si>
  <si>
    <t xml:space="preserve"> @Gloria Patricia Velasco 3043566304,
 @Francia Astrid Bermúdez Pinto 3143300959
@Yesica Paola Castro Gutiérrez 3223669001 
@Sindy Griselly Cuervo Gomez 3016436727 
@Enrique Cusba García 3133939423
y al número @Carolina Castro Arellana 3158723672
</t>
  </si>
  <si>
    <t>Solicitud Campaña SMS - Invitación Lanzamiento del libro Pensiones</t>
  </si>
  <si>
    <t>Vivir más tiempo exige nuevas formas de pensar, planear y cuidar. Participa en el lanzamiento del libro de FONCEP este 11 de diciembre, Archivo Distrital. ¡Cupos limitados! Regístrate:  https://forms.office.com/r/gU79W3cykZ</t>
  </si>
  <si>
    <t>@Gloria Patricia Velasco 3043566304, 
@Francia Astrid Bermúdez Pinto 3143300959
@Yesica Paola Castro Gutiérrez 3223669001
@Sindy Griselly Cuervo Gomez 3016436727 
y al número de contacto Andrea Ríos, 3108495908</t>
  </si>
  <si>
    <t>99,94%</t>
  </si>
  <si>
    <t>FONCEP presenta su nuevo libro sobre pensiones y envejecimiento. Te esperamos este 11 de diciembre, Archivo Distrital. ¡Cupos limitados! Regístrate:  https://forms.office.com/r/gU79W3cykZ</t>
  </si>
  <si>
    <t>¡Nueva fecha y lugar! Vivir más tiempo exige nuevas formas de pensar, planear y cuidar. Participa en el lanzamiento del libro de FONCEP este lunes, 15 de diciembre, sede principal del FONCEP. ¡Cupos limitados! Regístrate: https://forms.office.com/pages/responsepage.aspx?id=ScmxMe_imk6conl5qfgy-vd1gtrOWVBNkBtuKtLKNUlUM1FLU1FDTTdGSU1UTkZWWlZHM0sxU01SVi4u&amp;origin=lprLink&amp;route=shorturl</t>
  </si>
  <si>
    <t>99,27%</t>
  </si>
  <si>
    <t>¡Nueva fecha y lugar! Vivir más tiempo exige nuevas formas de pensar, planear y cuidar. Participa en el lanzamiento del libro de FONCEP este lunes, 15 de diciembre, en el Auditorio Huitaca de la Alcaldía Mayor de Bogotá. Entrada Calle 10. ¡Cupos limitados! Regístrate: https://forms.office.com/pages/responsepage.aspx?id=ScmxMe_imk6conl5qfgy-vd1gtrOWVBNkBtuKtLKNUlUM1FLU1FDTTdGSU1UTkZWWlZHM0sxU01SVi4u&amp;origin=lprLink&amp;route=shorturl</t>
  </si>
  <si>
    <t>98,78%</t>
  </si>
  <si>
    <t>Secretaria Distrital de Integración Social</t>
  </si>
  <si>
    <t>Campaña "Conexión Social para Víctimas"</t>
  </si>
  <si>
    <t>Eres beneficiario del programa Conexión Social de la Alcaldía Mayor, que te brinda internet gratuito en tu hogar con ETB. Acércate ya al CDC Tibabuyes (Cll 144 #136A-65) para agendar la instalación sin costos. Horario: lun–vie 8 a.m. – 4 p.m. y sáb 8 a.m.– 12 p.m.</t>
  </si>
  <si>
    <t>N/A</t>
  </si>
  <si>
    <t xml:space="preserve">@Gloria Patricia Velasco 3043566304, 
@Francia Astrid Bermúdez Pinto 3143300959
@Yesica Paola Castro Gutiérrez 3223669001 
@Sindy Griselly Cuervo Gomez y a los números
@Juan Manuel Lopez Arango 3174027328
@Julian Esteban Rodriguez Leiva 3143328258
</t>
  </si>
  <si>
    <t>Eres beneficiario del programa Conexión Social de la Alcaldía Mayor, que te brinda internet gratuito en tu hogar con ETB. Acércate ya al CDC Porvenir (Cra. 100 # 52 – 24 Sur) para agendar la instalación sin costos. Horario: lun–vie 8 a.m. – 4 p.m. y sáb 8 a.m.– 12 p.m.</t>
  </si>
  <si>
    <t xml:space="preserve">Solicitud mailing - IVC al barrio con la CCB 11 de diciembre										</t>
  </si>
  <si>
    <t xml:space="preserve">¡Acompáñanos a IVC al barrio con la CCB! 11 de diciembre de 2025
¡La Cámara de Comercio de Bogotá y la Secretaría Jurídica Distrital te invitan a una nueva jornada de IVC al barrio!
Este 11 de diciembre realizaremos un espacio especial de orientación para las Entidades Sin Ánimo de Lucro, en alianza con la CCB, para resolver inquietudes, fortalecer capacidades y acercar nuestros servicios a la ciudadanía.
Si deseas participar, inscríbete en el siguiente formulario. Los cupos son limitados.
Si tienes alguna pregunta o necesitas más información, no dudes en contactarnos al correo electrónico personasjur@secretariajuridica.gov.co  o al teléfono (601) 3813000 extensión 1742
¡Esperamos verte allí!
</t>
  </si>
  <si>
    <t xml:space="preserve">"Yesica Paola Castro Gutiérrez" &lt;ypcastro@alcaldiabogota.gov.co&gt;; 
"Enrique Cusba García" &lt;ecusba@alcaldiabogota.gov.co&gt;; 
"Gloria Patricia Velasco Salcedo" &lt;gpvelasco@alcaldiabogota.gov.co&gt;;
 "Sindy Griselly Cuervo Gomez" &lt;sgcuervo@alcaldiabogota.gov.co&gt;; "
"Francia Astrid Bermúdez Pinto" fbermudez@alcaldiabogota.gov.co;
 "Andrés Felipe Forero Oviedo" &lt;afforeroo@secretariajuridica.gov.co&gt;; 
“Diana Catalina Barreto García” &lt;dcbarretog@secretariajuridica.gov.co&gt;;
 “María Paula Rueda Mantilla” &lt;mpruedam@secretariajuridica.gov.co&gt;; con el fin de validar y aprobar la prueba de envío y contenido 
</t>
  </si>
  <si>
    <t>Solicitud Campaña Invitación - Inauguración Manzana del Cuidado SuperCADE 20 de Julio</t>
  </si>
  <si>
    <t>¡Llegó una nueva Manzana del Cuidado! Te esperamos el 16 de diciembre a las 7:30 a.m. en el SuperCADE 20 de Julio para la inauguración de este espacio que fortalece la vocación “Vínculos sanos y territorio incluyente”, creado para prevenir violencias y promover los derechos de las mujeres.</t>
  </si>
  <si>
    <t xml:space="preserve">Francia Astrid Bermúdez Pinto &lt;fbermudez@alcaldiabogota.gov.co&gt;; 
@Enrique Cusba García &lt;ecusba@alcaldiabogota.gov.co&gt;; 
@Gloria Patricia Velasco Salcedo &lt;gpvelasco@alcaldiabogota.gov.co&gt;; 
@Sindy Griselly Cuervo Gomez &lt;sgcuervo@alcaldiabogota.gov.co&gt;;
@Daniela Samudio Salazar &lt;dsamudio@alcaldiabogota.gov.co&gt; celular: 3132823340
@Carolina Castro Arellana &lt;ccastro@alcaldiabogota.gov.co&gt; celular: 3158723672
</t>
  </si>
  <si>
    <t>99.86%</t>
  </si>
  <si>
    <t xml:space="preserve">
                                                                  Asunto: 16 DE DICIEMBRE – SUPERCADE 20 DE JULIO, INAUGURACIÓN DE MANZANA DEL CUIDADO
¡Llegó una nueva Manzana del Cuidado!
Te esperamos el 16 de diciembre a las 7:30 a.m. en el SuperCADE 20 de Julio para la inauguración de este espacio que fortalece la vocación “Vínculos sanos y territorio incluyente”, creado para prevenir violencias y promover los derechos de las mujeres.
Base de datos llamadas ingresadas a Línea 195 en el mes de julio y agosto 2025 de la Localidad de Engativá
Agradecemos él envió de reporte para ser compartido con la Entidad.
</t>
  </si>
  <si>
    <t xml:space="preserve">@Francia Astrid Bermúdez Pinto &lt;fbermudez@alcaldiabogota.gov.co&gt;; 
@Enrique Cusba García &lt;ecusba@alcaldiabogota.gov.co&gt;; 
@Gloria Patricia Velasco Salcedo &lt;gpvelasco@alcaldiabogota.gov.co&gt;; 
@Sindy Griselly Cuervo Gomez &lt;sgcuervo@alcaldiabogota.gov.co&gt;;
@Daniela Samudio Salazar &lt;dsamudio@alcaldiabogota.gov.co&gt; celular: 3132823340
@Carolina Castro Arellana &lt;ccastro@alcaldiabogota.gov.co&gt; celular: 3158723672
</t>
  </si>
  <si>
    <t>Solicitud Campaña Invitación - Activación vocación SuperCADE Engativá</t>
  </si>
  <si>
    <t>En conmemoración del Día del Migrante, la Alcaldía de Bogotá te invita a la activación de la vocación Integración Local en el SuperCADE Engativá, además encontrarás una feria de servicios con oferta distrital enfocada en esta población. Te esperamos el 18 de diciembre, desde las 7:30 a.m.</t>
  </si>
  <si>
    <t xml:space="preserve">
@Francia Astrid Bermúdez Pinto &lt;fbermudez@alcaldiabogota.gov.co&gt;; 
@Enrique Cusba García &lt;ecusba@alcaldiabogota.gov.co&gt;; 
@Gloria Patricia Velasco Salcedo &lt;gpvelasco@alcaldiabogota.gov.co&gt;; 
@Sindy Griselly Cuervo Gomez &lt;sgcuervo@alcaldiabogota.gov.co&gt;;
@Daniela Samudio Salazar &lt;dsamudio@alcaldiabogota.gov.co&gt; celular: 3132823340
@Carolina Castro Arellana &lt;ccastro@alcaldiabogota.gov.co&gt; celular: 3158723672
</t>
  </si>
  <si>
    <t xml:space="preserve">                                                                  Asunto: 18 DE DICIEMBRE – SUPERCADE ENGATIVÁ, ACTIVACIÓN DE LA VOCACIÓN
En conmemoración del Día del Migrante, la Alcaldía de Bogotá te invita a la activación de la vocación Integración Local en el SuperCADE Engativá.
Además encontrarás una feria de servicios con oferta distrital enfocada en esta población.
Te esperamos el 18 de diciembre, desde las 7:30 a.m.
Base de datos llamadas ingresadas a Línea 195 en el mes de julio y agosto 2025 de la Localidad de Engativá
Base de datos: Población migrante (hombres y mujeres) de la localidad de Engativá que se hayan contactado con la Línea 195 durante los últimos seis meses.
              Población migrante (hombres y mujeres) que hayan tomado turno a través del Sistema de Asignación de Turnos (SAT) con destino al SuperCADE Engativá durante los últimos 6 meses.
Agradecemos él envió de reporte para ser compartido con la Entidad.
</t>
  </si>
  <si>
    <t>79,75 %</t>
  </si>
  <si>
    <t>Información feria a tu servicio San Cristóbal</t>
  </si>
  <si>
    <t>1.	La Feria A Tu Servicio de la Alcaldía Mayor de Bogotá llega este viernes 19 de diciembre al parque Bello Horizonte, en la localidad de San Cristóbal, ubicado en la carrera 3 Este con calle 31C Sur, desde las 8:00 a.m. hasta las 4:00 p.m.</t>
  </si>
  <si>
    <t xml:space="preserve"> @Gloria Patricia Velasco 3043566304,
 @Francia Astrid Bermúdez Pinto 3143300959
@Yesica Paola Castro Gutiérrez 3223669001 
@Sindy Griselly Cuervo Gomez 3016436727 
@Enrique Cusba García 3133939423
@Deysi Stephanie Sacristan Delgado  3196220513
y a los números
@Brigitte Marcela Quintero Galeano 3123042387
@Karen Johana Sánchez 3118587277
</t>
  </si>
  <si>
    <t>99,80%</t>
  </si>
  <si>
    <t xml:space="preserve">Asunto: ¡San Cristóbal, llega la Feria A Tu Servicio!
La Feria A Tu Servicio de la Alcaldía Mayor de Bogotá llega este viernes 19 de diciembre al parque Bello Horizonte, en la localidad de San Cristóbal, ubicado en la carrera 3 Este con calle 31C Sur, desde las 8:00 a.m. hasta las 4:00 p.m.
Durante la jornada, cerca de 60 entidades distritales, nacionales y privadas ofrecerán más de 200 trámites y servicios gratuitos, relacionados con cuidado y bienestar, educación, empleo, emprendimiento, justicia y movilidad, entre otros. 
Además, la ciudadanía podrá acceder a servicios como trámites del Sisbén, orientación social, oportunidades de formación, vacantes laborales, asesoría jurídica, personalización de la tarjeta Tullave, registro de bicicletas, cortes de cabello gratuitos y una agenda cultural y recreativa para toda la familia.
Este espacio es organizado por la Secretaría General de la Alcaldía Mayor de Bogotá, con el apoyo de la Alcaldía Local de San Cristóbal y las entidades participantes.
Participa y sigamos construyendo una Bogotá más cercana.
Red CADE en movimiento.
</t>
  </si>
  <si>
    <t xml:space="preserve">@Francia Astrid Bermúdez Pinto &lt;fbermudez@alcaldiabogota.gov.co&gt;; 
@Enrique Cusba García &lt;ecusba@alcaldiabogota.gov.co&gt;; 
@Gloria Patricia Velasco Salcedo &lt;gpvelasco@alcaldiabogota.gov.co&gt;; 
@Sindy Griselly Cuervo Gomez &lt;sgcuervo@alcaldiabogota.gov.co&gt;;
@Deysi Stephanie Sacristan Delgado &lt;dssacristan@alcaldiabogota.gov.co&gt;
 @Brigitte Marcela Quintero Galeano &lt;bmquintero@alcaldiabogota.gov.co&gt;
 @Karen Johana Sánchez &lt;kjsanchez@alcaldiabogota.gov.co&gt;;
</t>
  </si>
  <si>
    <t>84,77%</t>
  </si>
  <si>
    <t xml:space="preserve">Solicitud mailing - Evento 5 de diciembre										</t>
  </si>
  <si>
    <t>¡Tenemos una gran noticia para ti!: Si trabajas en una Entidad sin Ánimo de Lucro (ESAL) y te interesan los temas referentes a transparencia, compliance y buen gobierno, ¡este evento es para ti!↲↲ ↲↲Te invitamos a participar en “Hacia una cultura de transparencia: Implementación del PTEE en las ESAL”, un espacio de diálogo, aprendizaje e inspiración con expertos, academia y actores del sector.↲↲📲 Inscríbete aquí ( https://nam02.safelinks.protection.outlook.com/?url=https%3A%2F%2Fforms.gle%2F3GmPWecV371j2mN16&amp;data=05%7C02%7Cjdguzmana%40outsourcing.com.co%7Cbbec75c5f3444823e1ac08de2c468f24%7C140443af8e794fceb3edde001312984f%7C0%7C0%7C638996881796485258%7CUnknown%7CTWFpbGZsb3d8eyJFbXB0eU1hcGkiOnRydWUsIlYiOiIwLjAuMDAwMCIsIlAiOiJXaW4zMiIsIkFOIjoiTWFpbCIsIldUIjoyfQ%3D%3D%7C0%7C%7C%7C&amp;sdata=DvJVxfv7n95odTHHz%2BvTQKkr7r0PkK0L7YD4ENLlylg%3D&amp;reserved=0 )↲↲ ↲O escanea el siguiente código QR para registrarte:↲↲( https://docs.google.com/forms/d/e/1FAIpQLScDRmy6EwVHnBVHqvs2ySAoTnNaISiJpfLdzZH4ZE5HSaiv5g/viewform )↲↲¡Asegura tu cupo!↲↲Want to change how you receive these emails? You can UNSUBSCRIBE (↲ ) from this list.</t>
  </si>
  <si>
    <t xml:space="preserve">Yesica Paola Castro Gutiérrez" &lt;ypcastro@alcaldiabogota.gov.co&gt;;
"Enrique Cusba García" &lt;ecusba@alcaldiabogota.gov.co&gt;;
"Gloria Patricia Velasco Salcedo" &lt;gpvelasco@alcaldiabogota.gov.co&gt;;
 "Sindy Griselly Cuervo Gomez" &lt;sgcuervo@alcaldiabogota.gov.co&gt;; "
"Francia Astrid Bermúdez Pinto" fbermudez@alcaldiabogota.gov.co;
 "Andrés Felipe Forero Oviedo" &lt;afforeroo@secretariajuridica.gov.co&gt;;
“Diana Catalina Barreto García” &lt;dcbarretog@secretariajuridica.gov.co&gt;;
 “María Paula Rueda Mantilla” &lt;mpruedam@secretariajuridica.gov.co&gt;; con el fin de validar y aprobar la prueba de envío y contenido 
</t>
  </si>
  <si>
    <t>85.5 %</t>
  </si>
  <si>
    <t>85.4 %</t>
  </si>
  <si>
    <t>¿Aún no te has registrado para asistir al evento “Hacia una cultura de transparencia: ¿Implementación del PTEE en las ESAL”?↲↲📲 Inscríbete aquí ( https://nam02.safelinks.protection.outlook.com/?url=https%3A%2F%2Fforms.gle%2F3GmPWecV371j2mN16&amp;data=05%7C02%7Cjdguzmana%40outsourcing.com.co%7Cbbec75c5f3444823e1ac08de2c468f24%7C140443af8e794fceb3edde001312984f%7C0%7C0%7C638996881796485258%7CUnknown%7CTWFpbGZsb3d8eyJFbXB0eU1hcGkiOnRydWUsIlYiOiIwLjAuMDAwMCIsIlAiOiJXaW4zMiIsIkFOIjoiTWFpbCIsIldUIjoyfQ%3D%3D%7C0%7C%7C%7C&amp;sdata=DvJVxfv7n95odTHHz%2BvTQKkr7r0PkK0L7YD4ENLlylg%3D&amp;reserved=0 )↲↲ ↲O escanea el siguiente código QR para registrarte:↲↲( https://docs.google.com/forms/d/e/1FAIpQLScDRmy6EwVHnBVHqvs2ySAoTnNaISiJpfLdzZH4ZE5HSaiv5g/viewform )↲↲¡Asegura tu cupo!↲↲Want to change how you receive these emails? You can UNSUBSCRIBE (↲ ) from this list.</t>
  </si>
  <si>
    <t>Todavía estás a tiempo para registrarte y asistir al evento “Hacia una cultura de transparencia: Implementación del PTEE en las ESAL”↲↲¡Si ya te registraste, recuerda que la cita es mañana!↲↲📲 Inscríbete aquí ( https://nam02.safelinks.protection.outlook.com/?url=https%3A%2F%2Fforms.gle%2F3GmPWecV371j2mN16&amp;data=05%7C02%7Cjdguzmana%40outsourcing.com.co%7Cbbec75c5f3444823e1ac08de2c468f24%7C140443af8e794fceb3edde001312984f%7C0%7C0%7C638996881796485258%7CUnknown%7CTWFpbGZsb3d8eyJFbXB0eU1hcGkiOnRydWUsIlYiOiIwLjAuMDAwMCIsIlAiOiJXaW4zMiIsIkFOIjoiTWFpbCIsIldUIjoyfQ%3D%3D%7C0%7C%7C%7C&amp;sdata=DvJVxfv7n95odTHHz%2BvTQKkr7r0PkK0L7YD4ENLlylg%3D&amp;reserved=0 )↲↲ ↲O escanea el siguiente código QR para registrarte:↲↲( https://docs.google.com/forms/d/e/1FAIpQLScDRmy6EwVHnBVHqvs2ySAoTnNaISiJpfLdzZH4ZE5HSaiv5g/viewform )↲↲¡Asegura tu cupo!↲↲Want to change how you receive these emails? You can UNSUBSCRIBE (↲ ) from this list.</t>
  </si>
  <si>
    <t>85.3 %</t>
  </si>
  <si>
    <t>Veeduría Distrital</t>
  </si>
  <si>
    <t>Solicitud divulgación - Encuesta de Percepción de Confianza Institucional</t>
  </si>
  <si>
    <t>1.	¡Se acaba el tiempo! ¿Ya respondiste la Encuesta de Percepción de Confianza Institucional? Queremos conocer como avanza la confianza en Bogotá. Es anónima y toma menos de 10 minutos. Tienes hasta el 31 de enero. Compártela, todos pueden participar. Enlace: https://forms.gle/QsZmTGG2uEjEfYDn8</t>
  </si>
  <si>
    <t xml:space="preserve">@Gloria Patricia Velasco 3043566304, 
@Francia Astrid Bermúdez Pinto 3143300959
@Yesica Paola Castro Gutiérrez 3223669001
@Sindy Griselly Cuervo Gomez 3016436727 
</t>
  </si>
  <si>
    <t>Hola, te saludamos desde la Veeduría Distrital 👋↲↲¿Ya participaste en la Encuesta de Percepción de Confianza Institucional? Estamos a punto de finalizar la medición que busca conocer qué piensan las personas que viven o tienen alguna relación con la ciudad sobre las instituciones distritales.↲↲Queremos saber si confías en las entidades del Distrito, cómo ha sido tu experiencia al solicitar algún trámite, y saber si te sientes satisfecho viviendo en Bogotá.↲↲Participa ya en la segunda versión de la Encuesta de Percepción de Confianza Institucional. Tienes hasta el 31 de enero de 2026. Te recordamos que esta encuesta es anónima, y todos los mayores de 18 años están invitados a responderla. Compártela con tus amigos, familiares y conocidos, y suma tu voz a esta iniciativa.↲↲ ↲Enlace: https://forms.gle/QsZmTGG2uEjEfYDn8 ( https://nam02.safelinks.protection.outlook.com/?url=https%3A%2F%2Fforms.gle%2FQsZmTGG2uEjEfYDn8&amp;data=05%7C02%7Cjdguzmana%40outsourcing.com.co%7Cb02a86c47afc4da6d7fe08de5844d2a8%7C140443af8e794fceb3edde001312984f%7C0%7C0%7C639045249810592943%7CUnknown%7CTWFpbGZsb3d8eyJFbXB0eU1hcGkiOnRydWUsIlYiOiIwLjAuMDAwMCIsIlAiOiJXaW4zMiIsIkFOIjoiTWFpbCIsIldUIjoyfQ%3D%3D%7C0%7C%7C%7C&amp;sdata=04K3ruaULbQ%2F83TzvrphEuEFZntDLgZtZEQQjzhSRVQ%3D&amp;reserved=0 )↲↲Want to change how you receive these emails? You can UNSUBSCRIBE (↲ ) from this list.</t>
  </si>
  <si>
    <t xml:space="preserve">
@Gloria Patricia Velasco 3043566304, 
@Francia Astrid Bermúdez Pinto 3143300959
@Yesica Paola Castro Gutiérrez 3223669001
@Sindy Griselly Cuervo Gomez 3016436727 
y a los números de contacto Laura Inés Oliveros Amaya - loliveros@veeduriadistrital.gov.co- 3163972160 | Jaime Andrés Sánchez Santander jasanchez@veeduriadistrital.gov.co - 3214082574, con el fin de validar prueba de envío y contenido.
</t>
  </si>
  <si>
    <t>Solicitud SMS campaña feria vivienda víctimas</t>
  </si>
  <si>
    <t xml:space="preserve">Febrero </t>
  </si>
  <si>
    <t xml:space="preserve">Inscripciones abiertas! Si eres víctima del conflicto armado y buscas orientación para acceder a vivienda, participa en la Feria De Vivienda. Inscríbete hoy 11 de febrero. Aplican TyC https://suav.habitatbogota.gov.co/forms/FeriaDeViviendaVictimas2026 </t>
  </si>
  <si>
    <t>@Gloria Patricia Velasco 3043566304, 
@Francia Astrid Bermúdez Pinto 3143300959
@Yesica Paola Castro Gutiérrez 3223669001
@Sindy Griselly Cuervo Gomez 3016436727
@Deysi Stephanie Sacristan Delgado 3196220513
Camila Gómez Duarte 3124484832 N80</t>
  </si>
  <si>
    <t>Solicitud SMS campaña inscripción  de emprendimientos de la población víctima para las actividades  de Hecho en Bogotá</t>
  </si>
  <si>
    <t>1.	La Oficina de la Consejería para las Víctimas a nivel distrital invita a la población con emprendimientos a participar en el programa Hecho en Bogotá. Para más información e inscripción, puede acercarse a cualquier CLAV, diligencia el siguiente enlace para participar: https://survey123.arcgis.com/share/9eeca162341841d3a048e71ff3cd17ef?fbclid=PARlRTSAPzH6FleHRuA2FlbQIxMQBzcnRjBmFwcF9pZA8xMjQwMjQ1NzQyODc0MTQAAafTpzFnM18LkRBc7iM8v3MkXMQqZ9ai1zl5YBccmjykWKon6zVz6bYmZaQT8w_aem_pAeKFkf-kdJmJHz4KS9X5A</t>
  </si>
  <si>
    <t xml:space="preserve">@Gloria Patricia Velasco 3043566304, 
@Francia Astrid Bermúdez Pinto 3143300959
@Yesica Paola Castro Gutiérrez 3223669001
@Sindy Griselly Cuervo Gomez 3016436727
@Deysi Stephanie Sacristán Delgado 3196220513
Wilmer García, 3115891382
Manuela Páez, 3166379036
</t>
  </si>
  <si>
    <t>Campaña feria Transformaciones Rurales Integrales</t>
  </si>
  <si>
    <t xml:space="preserve">Marzo </t>
  </si>
  <si>
    <t xml:space="preserve">1.	Te invitamos a la Jornada de Empleabilidad y Emprendimiento en el marco de las TRI. Apoyo a emprendedores, inscripción a programas, orientación laboral y mercados campesinos.
Sábado 14 de marzo de 2026, 9:00 a.m. a 1:00 p.m., Parque San Cayetano, Usme. Te esperamos
</t>
  </si>
  <si>
    <t>@Gloria Patricia Velasco 3043566304
@Yesica Paola Castro Gutiérrez 3223669001
@Sindy Griselly Cuervo Gomez 3016436727 
@Deysi Stephanie Sacristan Delgado 3196220513 
y al número de contacto Raquel Victorino 3006568652, J86</t>
  </si>
  <si>
    <t>Secretaría Distrital de Desarrollo Económico</t>
  </si>
  <si>
    <t>Solicitud mailing - Feria de servicios 18 de marzo</t>
  </si>
  <si>
    <t>1.	Te esperamos mañana en nuestra 5ta jornada de LiderTesas, La cita es el 19 de marzo a las 7:00 am - Cr 16 # 9-68, Recuerda traer tu producto, Confirma tu asistencia aquí: https://survey123.arcgis.com/share/1eb66c459ded422c9f3d6c8d2307ca6c</t>
  </si>
  <si>
    <t>@Gloria Patricia Velasco 3043566304 
@Francia Astrid Bermúdez Pinto 3143300959
@Yesica Paola Castro Gutiérrez 3223669001
@Sindy Griselly Cuervo Gomez 3016436727 
y al número de contacto Karen Villamil 3502156722</t>
  </si>
  <si>
    <t>Solicitud  SMS -  Campaña FONCEP se toma tu localidad - Kennedy 27 de marzo</t>
  </si>
  <si>
    <t xml:space="preserve">1.	Pensionados y pensionadas de Kennedy: este viernes 27 de marzo, FONCEP llega a tu localidad con una jornada pensada para ti. Tendremos bingo, rumba, trámites, servicios y mucho más Te esperamos en la Alcaldía Local de Kennedy, a las 8:00 a.m. ¡Inscríbete ya! https://forms.office.com/pages/responsepage.aspx?id=ScmxMe_imk6conl5qfgy-vd1gtrOWVBNkBtuKtLKNUlURVgzOFQ5Vk5COTBJM0dWMzNXSkNNSUhKMi4u&amp;origin=lprLink&amp;route=shorturl </t>
  </si>
  <si>
    <t>@Gloria Patricia Velasco 3043566304, 
@Deysi Stephanie sacristán Delgado 319 6220513
@Yesica Paola Castro Gutiérrez 3223669001
@Sindy Griselly Cuervo Gomez 3016436727 
y a los números de contacto Andrea Ríos - 108495908 N85</t>
  </si>
  <si>
    <t>Solicitud mailing -Mensaje feria Rafale Uribe Uribe</t>
  </si>
  <si>
    <t xml:space="preserve">Asunto: ¡Rafael Uribe Uribe, llega la Feria A Tu Servicio!
El SuperCADE Móvil de la Alcaldía Mayor de Bogotá llega a la localidad de Rafael Uribe Uribe con una jornada especial dedicada a las mujeres, acercando la oferta institucional directamente a los territorios.
Durante la jornada, las ciudadanas podrán acceder a múltiples trámites y servicios gratuitos ofrecidos por entidades distritales y nacionales, enfocados en bienestar, salud, orientación social, rutas de atención, oportunidades de formación, empleabilidad y acompañamiento integral.
  Este espacio busca facilitar el acceso a servicios clave, promover el ejercicio de derechos y fortalecer la atención con enfoque diferencial, brindando orientación                                                         clara y oportuna en un solo lugar.
  La jornada es liderada por la Secretaría General de la Alcaldía Mayor de Bogotá, en articulación con las entidades participantes, como parte de la estrategia de                                                 acercamiento institucional a la ciudadanía.
                                        Participa y sigamos construyendo una Bogotá más cercana.
                                                       Red CADE en movimiento.
</t>
  </si>
  <si>
    <t xml:space="preserve">@Deysi Stephanie sacristán Delgado" dssacristan@alcaldiabogota.gov.co;
@Enrique Cusba García &lt;ecusba@alcaldiabogota.gov.co&gt;;
@Gloria Patricia Velasco Salcedo &lt;gpvelasco@alcaldiabogota.gov.co&gt;;
@Sindy Griselly Cuervo Gomez &lt;sgcuervo@alcaldiabogota.gov.co&gt;;
 @Brigitte Marcela Quintero Galeano &lt;bmquintero@alcaldiabogota.gov.co&gt;
 @Karen Johana Sánchez &lt;kjsanchez@alcaldiabogota.gov.co&gt;
</t>
  </si>
  <si>
    <t xml:space="preserve">Solicitud SMS - Megaferia Ingreso Mínimo Garantizado </t>
  </si>
  <si>
    <t>1.	Te invitamos a la Megaferia Ingreso Mínimo Garantizado 8 y 9 de abril (8 am a 4 pm) ¡Te esperamos 8 am! Conoce como recibir el beneficio: https://cutt.ly/JtOTbKMY</t>
  </si>
  <si>
    <t xml:space="preserve">@Gloria Patricia Velasco 3043566304, 
@Deysi Stephanie sacristán Delgado 319 6220513
@Yesica Paola Castro Gutiérrez 3223669001
@Sindy Griselly Cuervo Gómez 3016436727 
</t>
  </si>
  <si>
    <t xml:space="preserve">Solicitud SMS- Campaña Invitación inscribirse al espacio gratuito de formación certificable en el sector gastrobar </t>
  </si>
  <si>
    <t>1.	Te invitamos a conocer la campaña desarrollada por DIAGEO y la Escuela de Gastronomía Mariano Moreno, a través de la cual se ofrecen becas que cubren el 100 % de la formación en programas de coctelería, para mayor información ingresa a este enlace https://qr.link/F87Rpf</t>
  </si>
  <si>
    <t>@Gloria Patricia Velasco 3043566304, 
@Deysi Stephanie sacristán Delgado 319 6220513
@Yesica Paola Castro Gutiérrez 3223669001
@Sindy Griselly Cuervo Gomez 3016436727 
y al número de contacto Sandra Patricia Cruz Hoyos - 3005434724</t>
  </si>
  <si>
    <t xml:space="preserve">Asunto: Te invitamos a conocer la campaña desarrollada por DIAGEO y la Escuela de Gastronomía Mariano Moreno
¿Quieres capacitarte en el sector gastrobar?
Desde la RedCADE te conectamos con oportunidades de formación para el trabajo en Bogotá
Becas del 100% para formación en bar, coctelería, servicio y empleabilidad.
📲 Inscríbete escaneando el QR
¡Asegura tu cupo!
</t>
  </si>
  <si>
    <t xml:space="preserve">"Yesica Paola Castro Gutiérrez" &lt;ypcastro@alcaldiabogota.gov.co&gt;;
"Enrique Cusba García" &lt;ecusba@alcaldiabogota.gov.co&gt;;
"Gloria Patricia Velasco Salcedo" &lt;gpvelasco@alcaldiabogota.gov.co&gt;;
"Sindy Griselly Cuervo Gómez" &lt;sgcuervo@alcaldiabogota.gov.co&gt;; "
"Deysi Stephanie sacristán Delgado" dssacristan@alcaldiabogota.gov.co;
"Sandra Patricia Cruz Hoyos" &lt;spcruz@alcaldiabogota.gov.co&gt;; Con el fin de validar y aprobar la prueba de envío y contenido 
</t>
  </si>
  <si>
    <t xml:space="preserve">Solicitud SMS FONCEP y FUGA te invitan a la FILBo Incluyente 2026 </t>
  </si>
  <si>
    <t xml:space="preserve">1.	FONCEP y FUGA te invitan a la FILBo Incluyente 2026 (concierto, conversatorio y taller “Mujeres con Corazón de Pájaro”) El Muelle FUGA (Cra 3 #10–27) martes, 28/04/2026 – 3:00 p. m. Punto de encuentro 2:30 p.m.
             FONCEP(Cra 5) Inscríbete: https://forms.cloud.microsoft/r/R6GeptzPeY?origin=lprLink Cupos limitados
</t>
  </si>
  <si>
    <t xml:space="preserve">@Gloria Patricia Velasco 3043566304, 
@Deysi Stephanie sacristán Delgado 319 6220513
@Yesica Paola Castro Gutiérrez 3223669001
@Sindy Griselly Cuervo Gomez 3016436727 
y al número de contacto Andrea Mayerly Ríos Lagos 3108495908, con el fin de validar prueba de envío y contenido.
</t>
  </si>
  <si>
    <t>Solicitud SMS Taller de Modelo de Negocio, Plan de Trabajo y Gestión de Equipos</t>
  </si>
  <si>
    <t>1.	¡Haz crecer tu idea y conviértela en un negocio! Invitamos a nuestras pensionadas y pensionados al Taller de Modelo de Negocio, Plan de Trabajo y Gestión de Equipos, un espacio práctico para organizar y fortalecer tu emprendimiento paso a paso miércoles, 29 de abril de 2026 9:00 a. m. Carrera 6 #14-98, piso 2 Inscríbete aquí: https://forms.cloud.microsoft/r/KCvrVDJLXX?origin=lprLink  Cupos limitados</t>
  </si>
  <si>
    <t xml:space="preserve">Solicitud SMS invitación al programa de Innovers </t>
  </si>
  <si>
    <t>¡Nos vemos este 28 en Innovers! 1:30 p.m., Calle 24 #27A-31, Casa de la Juventud Los Mártires Lleva tu cédula y diligencia el DIME (importante para conocer tu emprendimiento):https://survey123.arcgis.com/share/a3518438cae54ff29090efbbcc91facf</t>
  </si>
  <si>
    <t xml:space="preserve">@Gloria Patricia Velasco 3043566304, 
@Deysi Stephanie sacristán Delgado 319 6220513
@Yesica Paola Castro Gutiérrez 3223669001
@Sindy Griselly Cuervo Gómez 3016436727 
y al número de contacto Karen Villamil 3502156722, 
</t>
  </si>
  <si>
    <t>¡Nos vemos este 29 en Innovers! 1:30 p.m., Cra 12 #76A-28 sur, Casa de la Juventud El Frailejón. Lleva tu cédula y diligencia el DIME (importante para conocer tu emprendimiento): https://survey123.arcgis.com/share/a3518438cae54ff29090efbbcc91facf</t>
  </si>
  <si>
    <t>Solicitud SMS Recordar y convocar a las emprendedoras inscritas a la 5° jornada de formación intensiva LiderTesas</t>
  </si>
  <si>
    <t>1.	Te esperamos en nuestra 6ta jornada de LiderTesas, La cita es el 25 de abril a las 7:00 am - Cr 16 # 9-68, Recuerda traer tu producto, Confirma tu asistencia aquí: https://survey123.arcgis.com/share/1eb66c459ded422c9f3d6c8d2307ca6c</t>
  </si>
  <si>
    <t xml:space="preserve">@Gloria Patricia Velasco 3043566304, 
@Deysi Stephanie sacristán Delgado 319 6220513
@Yesica Paola Castro Gutiérrez 3223669001
@Sindy Griselly Cuervo Gomez 3016436727 
y al número de contacto Karen Villamil 3502156722, con el fin de validar prueba de envío y contenido
</t>
  </si>
  <si>
    <t>Solicitud SMS Recordar y convocar a las emprendedoras inscritas a la 6° jornada de formación intensiva LiderTesas</t>
  </si>
  <si>
    <t xml:space="preserve">1.	 ¡Nos vemos mañana en LiderTesas! Te esperamos a las 7:00 a.m. en la Cr 16 #9-68 Puedes bajarte en la estación temporal Av Jiménez por la Caracas No olvides traer tu RUT (si lo tienes) y tu producto Confirma aquí: https://survey123.arcgis.com/share/1eb66c459ded422c9f3d6c8d2307ca6c </t>
  </si>
  <si>
    <t xml:space="preserve">@Gloria Patricia Velasco 3043566304, 
@Deysi Stephanie sacristán Delgado 319 6220513
@Yesica Paola Castro Gutiérrez 3223669001
@Sindy Griselly Cuervo Gomez 3016436727 
y al número de contacto Karen Villamil 3502156722, 
</t>
  </si>
  <si>
    <t xml:space="preserve">Solicitud SMS- FInvitación Webinar Lidertesas </t>
  </si>
  <si>
    <t>1.	¡Atención LiderTesas! Las invitamos al webinar: Tips de redes sociales y lectura de RUT para Emprendópolis este lunes 1 de junio a las 2:30 pm Link de la sesión: https://meet.google.com/out-jvyd-fuy ¡No falten, las esperamos!</t>
  </si>
  <si>
    <t>@Gloria Patricia Velasco 3043566304,  
@Deysi Stephanie sacristán Delgado 319 6220513 
@Yesica Paola Castro Gutiérrez 3223669001 
@Sindy Griselly Cuervo Gomez 3016436727  
y a los números de contacto Karen Villamil - 3502156722</t>
  </si>
  <si>
    <t>Dirección de Reparación Integral Oficina Consejería Distrital de Paz, Víctimas y Reconciliación</t>
  </si>
  <si>
    <t>Solicitud SMS- Convocatoria Feria de Vivienda</t>
  </si>
  <si>
    <t>1.	La Secretaría Distrital del Hábitat y la Consejería te invitan a la Feria de Vivienda 2026-I regístrate hasta 1 de junio de 2026 en el siguiente link: https://suav.habitatbogota.gov.co/Forms/feriaDeVivienda2026-I ¡No esperes más para cumplir tu sueño de tener vivienda propia e inscríbete!</t>
  </si>
  <si>
    <t>@Gloria Patricia Velasco 3043566304,  
@Deysi Stephanie sacristán Delgado 319 6220513 
@Yesica Paola Castro Gutiérrez 3223669001 
@Sindy Griselly Cuervo Gomez 3016436727  
y al número de contacto Clara Bibiana Rodríguez Gonzalez 318 2911400</t>
  </si>
  <si>
    <t>Solicitud SMS- Invitación al programa de Lidertesas</t>
  </si>
  <si>
    <t>1.	Te esperamos mañana  en nuestra 7ma jornada de LíderTesas a las 7:00 a. m. en la Cra 16 #9-68. Recuerden traer su producto y confirmar su asistencia aquí: https://survey123.arcgis.com/share/1eb66c459ded422c9f3d6c8d2307ca6c</t>
  </si>
  <si>
    <t>@Gloria Patricia Velasco 3043566304, 
@Deysi Stephanie sacristán Delgado 319 6220513
@Yesica Paola Castro Gutiérrez 3223669001
@Juan Carlos Romero Romero 3123786700
y al número de contacto Karen Villamil, - 3502156722</t>
  </si>
  <si>
    <t>Solicitud SMS- marco de la Política de Atención al Pensionado.</t>
  </si>
  <si>
    <t>Para cerrar el mes de las madres con broche de oro, FONCEP les invita a compartir una jornada especial de bienestar y cuidado, pensionados y pensionadas de Chapinero y localidades aledañas: les esperamos este martes 26 de mayo, de 8:00 am a 12:00 m, con vacunación, charlas, Pasaporte Vital y orientación en trámites pensionales, cupos limitados, inscríbete aquí https://acortar.link/dZz2sm</t>
  </si>
  <si>
    <t>@Gloria Patricia Velasco 3043566304, 
@Deysi Stephanie sacristán Delgado 319 6220513
@Yesica Paola Castro Gutiérrez 3223669001
@Juan Carlos Romero Romero 3123786700
y a los números de contacto Andrea Rios - 3108495908</t>
  </si>
  <si>
    <t>Tú y yo tenemos algo en común: trabajamos por Bogotá, ahora ¿qué tal redescubrir juntos el centro histórico de nuestra amada ciudad? Te esperamos este miércoles 27 de mayo, de 9:30 am a 12:00 m, para recorrer sus calles, historias y memorias, punto de encuentro: sede principal FONCEP, inscríbete aquí https://acortar.link/K0TwvU Cupos limitados</t>
  </si>
  <si>
    <t>Solicitud SMS-  Invitar a la ciudadanía a participar en la Activación de la Vocación del CADE Santa Lucía.</t>
  </si>
  <si>
    <t xml:space="preserve">1.	CADE Santa Lucía activa su vocación de inclusión social y convivencia ciudadana, te esperamos el 25 de mayo a las 7:30 a.m. en el CADE Santa Lucía en donde las entidades distritales, nacionales y organizaciones del tercer sector se unen para ofrecerte rutas de servicio orientadas a la inclusión en la vida comunitaria y convivencia social. </t>
  </si>
  <si>
    <t>@Gloria Patricia Velasco 3043566304, 
@Deysi Stephanie sacristán Delgado 3196220513
@Yesica Paola Castro Gutiérrez 3223669001
@Juan Carlos Romero Romero 3123786700
y al número de contacto Sandra Patricia Cruz Hoyos - 3005434724</t>
  </si>
  <si>
    <t>Solicitud SMS-invitar a participar en la Elecciones del Consejo Distrital de Paz, Reconciliación, Convivencia y Transformación de Conflictos 2026-2029</t>
  </si>
  <si>
    <t>1.	La paz se decide. Ya están abiertas las inscripciones para las elecciones del Consejo Distrital de Paz 2026–2029. Podrás ser parte de quienes orientan y asesoran en temas de paz, reconciliación y convivencia en el Gobierno Distrital. Inscripción hasta el 6 de junio. ingresa a www.participabogota.gov.co Tu participación marca la diferencia.</t>
  </si>
  <si>
    <t>@Gloria Patricia Velasco 3043566304, 
@Deysi Stephanie sacristán Delgado 319 6220513
@Yesica Paola Castro Gutiérrez 3223669001
y al número de contacto David Garcés - 316 8319305</t>
  </si>
  <si>
    <t>Campaña SMS Innovers 25 de Mayo</t>
  </si>
  <si>
    <t>1.	Te esperamos el Lunes en nuestra jornada de Innovers a las 8:00 a. m. en la Casa de la Juventud Nasqua, Cra. 55 #70A-33. Ven a fortalecer tu emprendimiento y conectar con otros jóvenes emprendedores. Confirma tu asistencia aquí: https://survey123.arcgis.com/share/2cbb754583a04164b8d568ef02e2f6a6</t>
  </si>
  <si>
    <t xml:space="preserve"> SMS para la invitación al programa de Lidertesas</t>
  </si>
  <si>
    <t>1.	Te esperamos en nuestra 7ma jornada de LiderTesas, La cita es el 23 de mayo a las 7:00 am - Cr 16 # 9-68, Recuerda traer tu producto, Confirma tu asistencia aquí: https://survey123.arcgis.com/share/1eb66c459ded422c9f3d6c8d2307ca6c</t>
  </si>
  <si>
    <t>@Gloria Patricia Velasco 3043566304, 
@Deysi Stephanie sacristán Delgado 319 6220513
@Yesica Paola Castro Gutiérrez 3223669001
@Juan Carlos Romero Romero 3123786700 
y al número de contacto Karen Villamil - 3502156722</t>
  </si>
  <si>
    <t xml:space="preserve">En el marco de la estrategia CADE con Vocación, la Alcaldía Mayor de Bogotá propició alianzas con el sector privado, por lo cual te invitamos a conocer la campaña desarrollada por la Escuela de Gastronomía Mariano Moreno y DIAGEO, a través de la cual se ofrecen becas que cubren el 100 % de la formación en programas de coctelería, orientados al fortalecimiento de habilidades para la empleabilidad Para mayor información ingresa a este enlace https://docs.google.com/forms/d/e/1FAIpQLSfV2njTZI80S0_jKav2yUxViKXi8ia3CAq0hPXZVOVdCTDAZQ/viewform?usp=dialog </t>
  </si>
  <si>
    <t xml:space="preserve">Solicitud MAILING- Campaña Invitación inscribirse al espacio gratuito de formación certificable en el sector gastrobar </t>
  </si>
  <si>
    <t xml:space="preserve">Asunto: Te invitamos a conocer la campaña desarrollada por DIAGEO y la Escuela de Gastronomía Mariano Moreno
¿Quieres capacitarte en el sector gastrobar?
Desde la RedCADE te conectamos con oportunidades de formación para el trabajo en Bogotá
Becas del 100% para formación en bar, coctelería, servicio y empleabilidad.
📲 Inscríbete escaneando el QR o al enlace https://docs.google.com/forms/d/e/1FAIpQLSfV2njTZI80S0_jKav2yUxViKXi8ia3CAq0hPXZVOVdCTDAZQ/viewform?usp=dialog
¡Asegura tu cupo!
</t>
  </si>
  <si>
    <t>Solicitud SMS- Convocatoria Programa Emprendópolis 2026</t>
  </si>
  <si>
    <t>La SD Desarrollo Económico te invita al lanzamiento del programa Emprendópolis 2026, el 25 de mayo de 7:30 am a 4:00 pm en el Parque Ricaurte: Cra 28 con 9, podrás recibir asesoría personalizada y capitalizar hasta $3 millones de pesos para fortalecer tu negocio, consulta los términos y condiciones en: https://acortar.link/emprendopolisTerminos Inscríbete al evento de lanzamiento en el siguiente enlace: https://acortar.link/Emprendopolis Te esperamos</t>
  </si>
  <si>
    <t>@Gloria Patricia Velasco 3043566304, 
@Deysi Stephanie sacristán Delgado 319 6220513
@Yesica Paola Castro Gutiérrez 3223669001
@@Juan Carlos Romero Romero 3123786700
y al número de contacto Diego A Peña, - 3183917867</t>
  </si>
  <si>
    <t>Solicitud SMS FONCEP- En el marco de la Política de Atención al Pensionado</t>
  </si>
  <si>
    <t>1.	En el marco de la Política de Atención al Pensionado, FONCEP y la Secretaría Distrital de Salud te invitan este 15 de mayo de 2026, de 8:00 a. m. a 12:00 m, a una jornada de salud física, emocional y vacunación en la Cra 6 #14-98, piso 2, Inscríbete aquí: https://forms.cloud.microsoft/r/U2PPGhhu8Z?origin=lprLink Cupos limitados.</t>
  </si>
  <si>
    <t>@Gloria Patricia Velasco 3043566304, 
@Deysi Stephanie sacristán Delgado 319 6220513
@Yesica Paola Castro Gutiérrez 3223669001
y al número de contacto Andrea Rios Lagos - 3108495908 N110</t>
  </si>
  <si>
    <t xml:space="preserve">Solicitud SMS- Mujeres emprendedoras de Bogotá en etapas de nacimiento empresarial </t>
  </si>
  <si>
    <t>1.	¡Gracias por acompañarnos en la Feria de Empleo!  Nos alegra que hayas mostrado interés en LiderTesas; si deseas hacer parte del programa, completa tu inscripción aquí: https://arcg.is/4uv191 ¡Te esperamos para seguir fortaleciendo tu liderazgo!</t>
  </si>
  <si>
    <t>@Gloria Patricia Velasco 3043566304,  
@Deysi Stephanie sacristán Delgado 319 6220513 
@Yesica Paola Castro Gutiérrez 3223669001 
@Sindy Griselly Cuervo Gomez 3016436727  
y a los números de contacto Karen Villamil 3502156722</t>
  </si>
  <si>
    <t xml:space="preserve">Solicitud SMS- Jóvenes emprendedores (18 a 28 años) que ya iniciaron su negocio </t>
  </si>
  <si>
    <t>¡Gracias por acompañarnos en la Feria de Empleo! Nos alegra que hayas mostrado interés en Innover; si deseas hacer parte del programa, inscríbete aquí: https://arcg.is/0if89S ¡Te esperamos para impulsar tu emprendimiento!</t>
  </si>
  <si>
    <t xml:space="preserve">573212612355
573107259020
573138926733
573016436727
573112129054
573043566304
573223669001
573196220513
573502156722
</t>
  </si>
  <si>
    <t>Solicitud SMS- Ciudad Bolivar Comedor Comunitario</t>
  </si>
  <si>
    <t>1.	Tenemos cupos disponibles en Comedor Comunitario Sierra Morena, requisitos: - Sisbén Bogotá A1 a C9, persona habitante de calle o residente en paga diario - Documento de identidad - Recibo de luz o agua ¡Asiste 5,6 o 9 de junio: Subdirección Local Ciudad Bolívar (Calle 70 Sur # 34-05) o Comedor Comunitario Sierra Morena (KR 73H Bis # 69C - 18 Sur)!</t>
  </si>
  <si>
    <t>@Gloria Patricia Velasco 3043566304, 
@Deysi Stephanie sacristán Delgado 319 6220513
@Yesica Paola Castro Gutiérrez 3223669001
@Sindy Griselly Cuervo Gomez 3016436727 
y a los números de contacto Camila Gómez 3124484832</t>
  </si>
  <si>
    <t>Solicitud SMS-  Usme Comedor Comunitario</t>
  </si>
  <si>
    <t>1.	Tenemos cupos disponibles en Comedor Comunitario Villa Alemania, requisitos: - Sisbén Bogotá A1 a C9, persona habitante de calle o residente en paga diario - Documento de identidad -Recibo de luz o agua ¡Asiste 5,6 o 9 de junio: Subdirección Local Usme Sumapaz (Calle 91 Sur # 4C - 26 Este) y Comedor Comunitario Villa Alemania (Cll 111A Sur # 2-07)!</t>
  </si>
  <si>
    <t>En el marco de la estrategia CADE con Vocación, la Alcaldía Mayor de Bogotá propició alianzas con el sector privado, por lo cual te invitamos a conocer la campaña desarrollada por la Escuela de Gastronomía Mariano Moreno y DIAGEO, a través de la cual se ofrecen becas que cubren el 100 % de la formación en programas de coctelería, orientados al fortalecimiento de habilidades para la empleabilidad Para mayor información ingresa a este enlace https://acortar.link/Mx5FKb</t>
  </si>
  <si>
    <t xml:space="preserve">Asunto: Te invitamos a conocer la campaña desarrollada por DIAGEO y la Escuela de Gastronomía Mariano Moreno
¿Quieres capacitarte en el sector gastrobar?
Desde la RedCADE te conectamos con oportunidades de formación para el trabajo en Bogotá
Becas del 100% para formación en bar, coctelería, servicio y empleabilidad.
📲 Inscríbete escaneando el QR o al enlace https://acortar.link/Mx5FKb
¡Asegura tu cupo!
</t>
  </si>
  <si>
    <t xml:space="preserve">"Yesica Paola Castro Gutiérrez" &lt;ypcastro@alcaldiabogota.gov.co&gt;;
"Enrique Cusba García" &lt;ecusba@alcaldiabogota.gov.co&gt;;
"Gloria Patricia Velasco Salcedo" &lt;gpvelasco@alcaldiabogota.gov.co&gt;;
"Sindy Griselly Cuervo Gómez" &lt;sgcuervo@alcaldiabogota.gov.co&gt;; "
"Deysi Stephanie sacristán Delgado" dssacristan@alcaldiabogota.gov.co;
"Sandra Patricia Cruz Hoyos" &lt;spcruz@alcaldiabogota.gov.co&gt;; </t>
  </si>
  <si>
    <t>Solicitud SMS-  Invitación llenar cuestionario de salida</t>
  </si>
  <si>
    <t>1.	LiderTesas: para nosotros su voz es muy importante, las invitamos a responder el cuestionario de satisfacción de la jornada ingresando a este enlace: https://survey123.arcgis.com/share/fed4fb21795f486eb546af75a2b27605  ¡Gracias por su compromiso!</t>
  </si>
  <si>
    <t>Solicitud SMS- Innovers-5 de Junio</t>
  </si>
  <si>
    <t>Te esperamos el viernes 5 de junio en Innovers, de 1:00 pm a 5:00 pm en la Casa de la Juventud Kennedy Un espacio para fortalecer tu emprendimiento y conectar con otros jóvenes Confirma tu asistencia aquí: https://arcg.is/0XOPzy0</t>
  </si>
  <si>
    <t>@Gloria Patricia Velasco 3043566304,  
@Deysi Stephanie sacristán Delgado 319 6220513 
@Yesica Paola Castro Gutiérrez 3223669001 
@Sindy Griselly Cuervo Gomez 3016436727  
y al número de contacto Karen Villamil 3502156722</t>
  </si>
  <si>
    <t xml:space="preserve">1.	LiderTesas: para nosotros su voz es muy importante, las invitamos a responder el cuestionario de satisfacción de la jornada ingresando a este enlace: https://survey123.arcgis.com/share/fed4fb21795f486eb546af75a2b27605  ¡Gracias por su compromiso!
</t>
  </si>
  <si>
    <t>Solicitud SMS- Usme Comedor Comunitario</t>
  </si>
  <si>
    <t>1.	¡Gracias por acompañarnos en la Feria de Empleo! Nos alegra que hayas mostrado interés en Innover; si deseas hacer parte del programa, inscríbete aquí: https://arcg.is/0if89S ¡Te esperamos para impulsar tu emprendimiento!</t>
  </si>
  <si>
    <t>@Gloria Patricia Velasco 3043566304,  
@Deysi Stephanie sacristán Delgado 319 6220513 
@Yesica Paola Castro Gutiérrez 3223669001 
@Sindy Griselly Cuervo Gomez  3016436727  
y a los números de contacto Karen Villamil 3502156722</t>
  </si>
  <si>
    <t>Solicitud Mailing- Evento transmisión del partido de la Selección Colombia</t>
  </si>
  <si>
    <t>Contenido del mensaje Invitación 1
Gracias por utilizar los servicios de la Red CADE y la Línea 195.
Has sido seleccionado(a) como ganador(a) de un pase doble para disfrutar la transmisión del partido de la Selección Colombia en pantalla gigante.
Bogotá es la casa de la Sele y queremos que vivas esta experiencia junto a un familiar o amigo mayor de doce (12) años, compartiendo la emoción del fútbol con miles de ciudadanos.
Datos del evento:
• Encuentro: Colombia vs. Uzbekistán.
•Fecha: miércoles 17 de junio 2026
•Hora: 9:00 p.m.
• Lugar:  Parque Fontanar del Río: Diagonal 145 #138A-10.
•Ingreso: a partir de las 6:00 p.m.
Te recomendamos llegar con anticipación y presentar tu documento de identidad para el ingreso.
Gracias por confiar en los servicios de la ciudad y hacer parte del equipo que construye una Bogotá más cercana, conectada y confiable.↲↲Haz tu trámite. Gana tu pase. Vive la Sele.
Cordialmente,
Red CADE 
Secretaría General Alcaldía Mayor de Bogotá.
Contenido del mensaje Invitación 2
Gracias por utilizar los servicios de la Red CADE y la Línea 195.
Has sido seleccionado(a) como ganador(a) de un pase doble para disfrutar la transmisión del partido de la Selección Colombia en pantalla gigante.
Bogotá es la casa de la Sele y queremos que vivas esta experiencia junto a un familiar o amigo mayor de doce (12) años, compartiendo la emoción del fútbol con miles de ciudadanos.
Datos del evento:
• Encuentro: Colombia vs. Uzbekistán.
•Fecha: miércoles 17 de junio 2026
•Hora: 9:00 p.m.
• Lugar:  Parque El Tunal: Calle 48C Sur #22D-81↲•Ingreso: a partir de las 6:00 p.m.
Te recomendamos llegar con anticipación y presentar tu documento de identidad para el ingreso.
Gracias por confiar en los servicios de la ciudad y hacer parte del equipo que construye una Bogotá más cercana, conectada y confiable.↲↲Haz tu trámite. Gana tu pase. Vive la Sele.
Cordialmente,
Red CADE
Secretaría General
Alcaldía Mayor de Bogotá.</t>
  </si>
  <si>
    <t xml:space="preserve">Contactos: @Sindy Griselly Cuervo Gomez 3016436727 de realizarse cambios o ajustes y @Gloria Patricia Velasco 3043566304, @Yesica Paola Castro Gutiérrez 3223669001 </t>
  </si>
  <si>
    <t xml:space="preserve">Contenido del mensaje Invitación 1
Gracias por utilizar los canales de la Red CADE en Bogotá, como la Línea 195 y Bogotá Te Escucha.
En reconocimiento, has sido seleccionado(a) como ganador(a) de un pase doble para disfrutar la transmisión del partido de la Selección Colombia en pantalla gigante. Bogotá es la casa de la Sele y queremos que vivas esta experiencia junto a un familiar o amigo mayor de ocho (8) años, compartiendo la emoción del fútbol con miles de ciudadanos.
Datos del evento:
• Encuentro: Colombia vs.Portugal.
•Fecha: Sábado 27 de junio 2026
•Hora: 6:00 p.m.
• Lugar:  Parque Fontanar del Río: Diagonal 145 #138A-10.
•Ingreso: a partir de las 3:00 p.m.
Te recomendamos llegar con anticipación y presentar tu documento de identidad para el ingreso.
Gracias por confiar en los servicios de la ciudad y hacer parte del equipo que construye una Bogotá más cercana, conectada y confiable.
Haz tu trámite. Gana tu pase. Vive la Sele.
Cordialmente,
Red CADE
Secretaría General
Alcaldía Mayor de Bogotá.
Contenido del mensaje Invitación 2
Gracias por utilizar los canales de la Red CADE en Bogotá, como la Línea 195 y Bogotá Te Escucha.}
En reconocimiento, has sido seleccionado(a) como ganador(a) de un pase doble para disfrutar la transmisión del partido de la Selección Colombia en pantalla gigante. Bogotá es la casa de la Sele y queremos que vivas esta experiencia junto a un familiar o amigo mayor de ocho (8) años, compartiendo la emoción del fútbol con miles de ciudadanos.
Datos del evento:
• Encuentro: Colombia vs.Portugal.
•Fecha: Sábado 27 de junio 2026
•Hora: 6:00 p.m.
• Lugar:  Parque El Tunal: Calle 48C Sur #22D-81
•Ingreso: a partir de las 3:00 p.m.
Te recomendamos llegar con anticipación y presentar tu documento de identidad para el ingreso.
Gracias por confiar en los servicios de la ciudad y hacer parte del equipo que construye una Bogotá más cercana, conectada y confiable.
Haz tu trámite. Gana tu pase. Vive la Sele.
Cordialmente,
Red CADE
Secretaría General
Alcaldía Mayor de Bogotá.
</t>
  </si>
  <si>
    <t xml:space="preserve">Contenido del mensaje Invitación 1
Gracias por utilizar los servicios de la Red CADE y la Línea 195.
Has sido seleccionado(a) como ganador(a) de un pase doble para disfrutar la transmisión del partido de la Selección Colombia en pantalla gigante.
Bogotá es la casa de la Sele y queremos que vivas esta experiencia junto a un familiar o amigo mayor de doce (12) años, compartiendo la emoción del fútbol con miles de ciudadanos.
Datos del evento:
• Encuentro: Colombia vs. Uzbekistán.
•Fecha: miércoles 17 de junio 2026
•Hora: 9:00 p.m.
• Lugar:  Parque Fontanar del Río: Diagonal 145 #138A-10.
•Ingreso: a partir de las 6:00 p.m.
Te recomendamos llegar con anticipación y presentar tu documento de identidad para el ingreso.
Gracias por confiar en los servicios de la ciudad y hacer parte del equipo que construye una Bogotá más cercana, conectada y confiable.↲↲Haz tu trámite. Gana tu pase. Vive la Sele.
Cordialmente,
Red CADE 
Secretaría General Alcaldía Mayor de Bogotá.
Contenido del mensaje Invitación 2
Gracias por utilizar los servicios de la Red CADE y la Línea 195.
Has sido seleccionado(a) como ganador(a) de un pase doble para disfrutar la transmisión del partido de la Selección Colombia en pantalla gigante.
Bogotá es la casa de la Sele y queremos que vivas esta experiencia junto a un familiar o amigo mayor de doce (12) años, compartiendo la emoción del fútbol con miles de ciudadanos.
Datos del evento:
• Encuentro: Colombia vs. Uzbekistán.
•Fecha: miércoles 17 de junio 2026
•Hora: 9:00 p.m.
• Lugar:  Parque El Tunal: Calle 48C Sur #22D-81↲•Ingreso: a partir de las 6:00 p.m.
Te recomendamos llegar con anticipación y presentar tu documento de identidad para el ingreso.
Gracias por confiar en los servicios de la ciudad y hacer parte del equipo que construye una Bogotá más cercana, conectada y confiable.↲↲Haz tu trámite. Gana tu pase. Vive la Sele.
Cordialmente,
Red CADE
Secretaría General
Alcaldía Mayor de Bogotá.
</t>
  </si>
  <si>
    <t xml:space="preserve">Feria de Servicios, Empleabilidad y Emprendimiento – CEBOSA </t>
  </si>
  <si>
    <t>Te invitamos a la Feria de Servicios Empleabilidad y Emprendimiento este 23 de julio de 8 am a 2 pm en el Centro para la Paz y la Integración Local de Víctimas en la Calle 69A Sur 92 47</t>
  </si>
  <si>
    <t xml:space="preserve">@Gloria Patricia Velasco 3043566304, 
@Deysi Stephanie sacristán Delgado 319 6220513
@Yesica Paola Castro Gutiérrez 3223669001
@Juan Carlos Romero Romero 3123786700
Solicitante:  Angelica pinzón: 3132290601
</t>
  </si>
  <si>
    <t>IMG al barrio -  Engativa</t>
  </si>
  <si>
    <t>Integración Social te invita a recibir información de Ingreso Minimo Garantizado este 24 de julio, en el CDC Santa Helenita Cra 78 #69A-57, a partir de las 8 am a 3 pm</t>
  </si>
  <si>
    <t xml:space="preserve">Gloria Patricia Velasco 3043566304
@Deysi Stephanie sacristán Delgado 319 6220513
@Yesica Paola Castro Gutiérrez 3223669001
@Juan Carlos Romero Romero 3123786700
Solicitantes:  
•	Raúl Alexis Sierra Calderón: 3043657484
•	Ronald Albeiro Muñoz Espinoza: 3107622623
</t>
  </si>
  <si>
    <t>Mensajes de Texto IMG al barrio -  RUU_  IMG al Barrio -  Bancarizate RUU</t>
  </si>
  <si>
    <t>¡Integración Social te espera a IMG al Barrio! Bancarizate y recibe información de IMG este 31 de julio en el CDC Colinas, dirección: Carrera 13b # 31g - 40 sur, a partir de las 8am a 3pm</t>
  </si>
  <si>
    <t xml:space="preserve">@Gloria Patricia Velasco 3043566304
@Deysi Stephanie sacristán Delgado 319 6220513
@Yesica Paola Castro Gutiérrez 3223669001
@Juan Carlos Romero Romero 3123786700
Solicitantes:  
•	Raúl Alexis Sierra Calderón: 3043657484
•	Ronald Albeiro Muñoz Espinoza: 3107622623
</t>
  </si>
  <si>
    <t>Mensajes de Texto IMG al barrio -  RUU_  IMG al barrio -  RUU</t>
  </si>
  <si>
    <t>Integracion Social te invita a recibir informacion de Ingreso Minimo Garantizado este 31 de julio, en el CDC Colinas Cra 13B # 31G – 40 Sur, a partir de las 8am a 3pm</t>
  </si>
  <si>
    <t>DIAN</t>
  </si>
  <si>
    <t>Datos mensajes de texto DIAN</t>
  </si>
  <si>
    <t>Cordial saludo Sra Claudia Marina↵Su cita con la Direccion de Impuestos y Aduanas Nacionales hoy 7 de julio de 2026 en el SuperCADE Suba, ha sido reprogramada, acerquese en el transcurso de la semana al CADE SUBA entre las 8:00 am y las 3:00 pm, Modulo 20 indicando esta situacion para ser atendido Agradecemos su comprension</t>
  </si>
  <si>
    <t>Cordial saludo Sr Daniel Velandia↵Su cita con la Direccion de Impuestos y Aduanas Nacionales hoy 7 de julio de 2026 en el SuperCADE Suba, ha sido reprogramada, acerquese en el transcurso de la semana al CADE SUBA entre las 8:00 am y las 3:00 pm, Modulo 20 indicando esta situacion para ser atendido Agradecemos su comprension</t>
  </si>
  <si>
    <t>Cordial saludo Sr Jorge Yela↵Su cita con la Direccion de Impuestos y Aduanas Nacionales hoy 7 de julio de 2026 en el SuperCADE Suba, ha sido reprogramada, acerquese en el transcurso de la semana al CADE SUBA entre las 8:00 am y las 3:00 pm, Modulo 20 indicando esta situacion para ser atendido Agradecemos su comprension</t>
  </si>
  <si>
    <t>Campaña Medalla al espíritu solidario</t>
  </si>
  <si>
    <t>👐FONCEP se toma tu localidad llega a Ciudad Bolívar. Participa en actividades de diversión y el IV Diálogo Ciudadano este 10 de julio, de 8:00 a. m. a 12:00 m. Inscríbete aquí: https://forms.office.com/r/x3Zj8Sx2Ba</t>
  </si>
  <si>
    <t>@Gloria Patricia Velasco 3043566304, 
@Deysi Stephanie sacristán Delgado 319 6220513
@Yesica Paola Castro Gutiérrez 3223669001
@Juan Carlos Romero Romero 3123786700
Entidad solicitante: Andrea Rios: 3108495908</t>
  </si>
  <si>
    <t xml:space="preserve">Solicitud SMS- Campaña Invitación taller comunitario Vocación Metro - 29 de julio </t>
  </si>
  <si>
    <t>¡Te invitamos a construir los futuros CADE con Vocación del Metro de Bogotá! Queremos conocer tus ideas para definir servicios, espacios y el enfoque que tendrán estos nuevos puntos de atención; El taller será el 29 de julio a las 9 am en SuperCADE Américas, Ak 86 #43-55 Sur, confirma tu asistencia aquí: https://forms.cloud.microsoft/r/mVP9H62wLk</t>
  </si>
  <si>
    <t xml:space="preserve">@Gloria Patricia Velasco 3043566304, 
@Deysi Stephanie sacristán Delgado 319 6220513
@Yesica Paola Castro Gutiérrez 3223669001
@Juan Carlos Romero Romero 3123786700
Entidad solicitante: Sandra Patricia Cruz Hoyos 3005434724
</t>
  </si>
  <si>
    <t>Solicitud SMS- Campaña Invitación Invitación taller comunitario Vocación Metro - 29 de julio</t>
  </si>
  <si>
    <t xml:space="preserve">Solicitud Mailing-Campaña Invitación taller comunitario Vocación Metro - 29 de julio </t>
  </si>
  <si>
    <t xml:space="preserve">Asunto:  Te invitamos  a construir los futuros CADE con Vocación del Metro de Bogotá
¿Quieres participar en el  taller comunitario Vocación del Metro de Bogotá?
Queremos conocer tus ideas para definir servicios, espacios y el enfoque que tendrán estos nuevos puntos de atención.
 Agradecemos nos sea remitido previamente un correo electrónico de prueba de acuerdo a la tabla anterior a las siguientes direcciones
</t>
  </si>
  <si>
    <t xml:space="preserve">"Yesica Paola Castro Gutiérrez" &lt;ypcastro@alcaldiabogota.gov.co&gt;;
"Enrique Cusba García" &lt;ecusba@alcaldiabogota.gov.co&gt;;
"Gloria Patricia Velasco Salcedo" &lt;gpvelasco@alcaldiabogota.gov.co&gt;;
"Juan Carlos Romero Romero" &lt;jcromeror@alcaldiabogota.gov.co&gt;; "
"Deysi Stephanie sacristán Delgado" dssacristan@alcaldiabogota.gov.co;
"Sandra Patricia Cruz Hoyos" &lt;spcruz@alcaldiabogota.gov.co&gt;; 
</t>
  </si>
  <si>
    <t>Lidertesas-Julio</t>
  </si>
  <si>
    <t>¡Nos vemos el Sábado 25 de julio! Te esperamos a las 7:00 am, en la Cra 16 #9-68; Puedes bajarte en la estación temporal Avenida Jiménez por la Caracas, no olvides traer tu RUT (si lo tienes) y tu producto; Confirma aquí:👉 https://arcg.is/1q5fmv2</t>
  </si>
  <si>
    <t>@Gloria Patricia Velasco 3043566304, 
@Deysi Stephanie sacristán Delgado 319 6220513
@Yesica Paola Castro Gutiérrez 3223669001
@Juan Carlos Romero Romero 3123786700
Entidad solicitante: Karen Villamil: 3502156722</t>
  </si>
  <si>
    <t xml:space="preserve"> Segunda etapa Campaña DIAGEO </t>
  </si>
  <si>
    <t>Te invitamos a conocer la campaña desarrollada por DIAGEO y la Escuela de Gastronomía Mariano Moreno, a través de la cual se ofrecen becas que cubren el 100 % de la formación en programas de coctelería, para mayor información escribe a la línea de WhatsApp:👉  3159167684</t>
  </si>
  <si>
    <t xml:space="preserve">Te invitamos a conocer la campaña desarrollada por DIAGEO y la Escuela de Gastronomía Mariano Moreno
¿Quieres capacitarte en el sector gastrobar?
Desde la RedCADE te conectamos con oportunidades de formación para el trabajo en Bogotá
Becas del 100% para formación en bar, coctelería, servicio y empleabilidad.
 Agradecemos nos sea remitido previamente un correo electrónico de prueba de acuerdo a la tabla anterior a las siguientes direcciones
</t>
  </si>
  <si>
    <t>Secretaria General(Observatorio Distrital de Víctimas del Conflicto Armado)</t>
  </si>
  <si>
    <t>Jornadas de matrícula escolar Centros de Encuentro</t>
  </si>
  <si>
    <t xml:space="preserve">Agosto </t>
  </si>
  <si>
    <t>Si es victima del conflicto armado y requiere un cupo escolar le brindaremos acompañamiento para el proceso de matricula del 24 al 28 de agosto en los Centros de Encuentro para la Paz de: Ciudad Bolivar, Usme, Bosa, Patio Bonito, Suba o Rafael Uribe, de 7 am a 4 pm. Le esperamos</t>
  </si>
  <si>
    <t xml:space="preserve">@Gloria Patricia Velasco 3043566304
@Deysi Stephanie sacristán Delgado 319 6220513
@Yesica Paola Castro Gutiérrez 3223669001
@Juan Carlos Romero Romero 3123786700
@Anyerson Cardozo Yate 3057278353
</t>
  </si>
  <si>
    <t xml:space="preserve">Asunto: 🎓 Víctimas del conflicto armado: ¡hay oportunidades para acceder a un cupo escolar!
Estimadas familias:
Si su hijo, hija o menor a cargo es víctima del conflicto armado y actualmente no está matriculado en el colegio, los invitamos a las Jornadas de Orientación e Inscripción para solicitar cupos escolares.
Del 24 al 28 de agosto, de 7:00 a. m. a 4:00 p. m., podrá acercarse al Centro de Encuentro para la Paz más cercano, donde recibirá orientación para iniciar el proceso de solicitud de un cupo escolar y conocer las opciones disponibles.
Las jornadas se realizarán en:
• Ciudad Bolívar – Carrera 17F # 69A-32 Sur, CADE Los Luceros
• Usme – Calle 77 B Sur # 15-55, CADE Yomasa
• Bosa – Calle 69A Sur # 92-47, Barrio Metrovivienda
• Patio Bonito – Carrera 87 # 5B-21
• Suba – Transversal 126 # 133-32, barrio La Gaitana
• Rafael Uribe Uribe – Calle 22 Sur # 14A-99
Para la atención se requiere:
• Documento de identificación
• Dirección de residencia
• Si es posible, tener identificados algunos colegios cercanos al lugar de residencia en los que le gustaría solicitar el cupo
Tenga en cuenta que estas jornadas corresponden a la orientación y al registro inicial para solicitar nuevos cupos escolares. La formalización de la matrícula está prevista a partir del 30 de septiembre.
¡Los esperamos para orientarle y acompañarle en este proceso!
Secretaría de Educación del Distrito
Oficina Consejería Distrital de Paz, Víctimas y Reconciliación
</t>
  </si>
  <si>
    <t>"Yesica Paola Castro Gutiérrez" &lt;ypcastro@alcaldiabogota.gov.co&gt;;
"Enrique Cusba García" &lt;ecusba@alcaldiabogota.gov.co&gt;;
"Gloria Patricia Velasco Salcedo" &lt;gpvelasco@alcaldiabogota.gov.co&gt;;
"Juan Carlos Romero Romero" &lt;jcromeror@alcaldiabogota.gov.co&gt;; "
"Deysi Stephanie sacristán Delgado" dssacristan@alcaldiabogota.gov.co;</t>
  </si>
  <si>
    <t xml:space="preserve">  Mensajes de Texto IMG al Barrio -  Bancarizate Tunjuelito</t>
  </si>
  <si>
    <t>¡Integracion Social te espera a IMG al Barrio! bancarizate y recibe informacion, este 19 de agosto, en la Casa de la Cultura Tunjuelito, Dg 52D Sur # 27 - 21, 8am a 3pm</t>
  </si>
  <si>
    <t xml:space="preserve">@Gloria Patricia Velasco 3043566304
@Deysi Stephanie sacristán Delgado 319 6220513
@Yesica Paola Castro Gutiérrez 3223669001
@Juan Carlos Romero Romero 3123786700
@Anyerson Cardozo Yate 3057278353
Solicitantes:  
•	Raúl Alexis Sierra Calderón: 3043657484
•	Ronald Albeiro Muñoz Espinoza: 3107622623
</t>
  </si>
  <si>
    <t>IMG al Barrio Tunjuelito</t>
  </si>
  <si>
    <t>SD Integración Social te espera en IMG al Barrio, bancarízate y recibe información hoy 19 de agosto en la Casa de la Cultura de Tunjuelito Dg 52 D sur #27 - 21, de 8am a 3pm</t>
  </si>
  <si>
    <t xml:space="preserve">@Gloria Patricia Velasco 3043566304
@Deysi Stephanie sacristán Delgado 319 6220513
@Yesica Paola Castro Gutiérrez 3223669001
@Juan Carlos Romero Romero 3123786700
@Anyerson Cardozo Yate 3057278353
Solicitantes: 
•	Raúl Alexis Sierra Calderón – Tel. 3043657484
•	Ronald Albeiro Muñoz Espinoza – Tel. 3107622623
•	Jorge Antonio Lapuente – Tel. 3195980069
</t>
  </si>
  <si>
    <t>Notificación de pagos IMG Ciclo 8 Pasajes Gratis</t>
  </si>
  <si>
    <t>Hola soy el Alcalde Carlos F Galan y te confirmo que la Alcaldia te invita a recargar tus pasajes gratis de agosto cualquier dia del mes, https://cutt.ly/1ysz5cu2</t>
  </si>
  <si>
    <t xml:space="preserve">@Gloria Patricia Velasco 3043566304
@Deysi Stephanie sacristán Delgado 319 6220513
@Yesica Paola Castro Gutiérrez 3223669001
@Juan Carlos Romero Romero 3123786700
@Anyerson Cardozo Yate 3057278353
Solicitantes:  
•	Raúl Alexis Sierra Calderón: 3043657484
•	Ronald Albeiro Muñoz Espinoza: 3107622623
•	Jorge Antonio Lapuente – Tel. 3195980069.
</t>
  </si>
  <si>
    <t xml:space="preserve">Taller validación Vocación y Rutas de Servicio CADE Fontibón </t>
  </si>
  <si>
    <t>¡Te invitamos a participar en el Taller de Validación! Conectando oportunidades y fortaleciendo familias, Este será el 20 de agosto a las 3 pm, en el CADE Fontibón, ubicado en la Diagonal 16 #104-51 OF 101 Centro Comercial Viva, Confirma tu asistencia aquí: https://forms.cloud.microsoft/r/uJBnhpxzgW</t>
  </si>
  <si>
    <t xml:space="preserve">@Gloria Patricia Velasco 3043566304
@Deysi Stephanie sacristán Delgado 319 6220513
@Yesica Paola Castro Gutiérrez 3223669001
@Juan Carlos Romero Romero 3123786700
@Anyerson Cardozo Yate 3057278353
Solicitante:  
•	Sandra Patricia Cruz Hoyos 3005434724
</t>
  </si>
  <si>
    <t xml:space="preserve"> Novedades IMG</t>
  </si>
  <si>
    <t>Integracion Social: tu pago de Ingreso Minimo Garantizado para persona mayor presento una novedad. Conoce todos los detalles en: https://bit.ly/4fPeop6</t>
  </si>
  <si>
    <t>Campaña Laboratorio de Ideas Climáticas_ Graduación grupos impulsa -  Kennedy</t>
  </si>
  <si>
    <t>Tienes entre 15 y 24 años y una idea o iniciativa por el clima? Participa en el Laboratorio de Ideas Climaticas este 22 de agosto, de 8 am a 1 pm. Conoce como postularte a la convocatoria que entregara hasta USD 3.000 a iniciativas seleccionadas. Inscribete: https://forms.gle/jWjTFSNL4MqSgXGa7</t>
  </si>
  <si>
    <t xml:space="preserve">@Gloria Patricia Velasco 3043566304
@Deysi Stephanie sacristán Delgado 319 6220513
@Yesica Paola Castro Gutiérrez 3223669001
@Juan Carlos Romero Romero 3123786700
@Anyerson Cardozo Yate 3057278353
Solicitantes: 
           Camila Barrera: 301 495 1840
</t>
  </si>
  <si>
    <t xml:space="preserve"> Campaña _ Día del pensionado 2026</t>
  </si>
  <si>
    <t>En tiempos difíciles, celebremos y honremos la vida. 💙 Te esperamos este 21 de agosto en el Día del Pensionado 2026. Inscríbete aquí: https://acortar.link/9xFCxF  ¡cupos limitados!</t>
  </si>
  <si>
    <t xml:space="preserve">@Gloria Patricia Velasco 3043566304
@Deysi Stephanie sacristán Delgado 319 6220513
@Yesica Paola Castro Gutiérrez 3223669001
@Juan Carlos Romero Romero 3123786700
@Anyerson Cardozo Yate 3057278353
Solicitantes: 
           Andrea Ríos: 3108495908 
</t>
  </si>
  <si>
    <t>Grado de Lidertesas PRO</t>
  </si>
  <si>
    <t>¡Mañana celebramos tu logro en el Grado LiderTesas PRO! en la Cra 16 #9-68 estación temporal Av Jiménez por la Caracas a las 8:30am; Asegura tu cupo aquí: https://forms.gle/Z3aw6aQ32Q9e4xzN9. ¡Te esperamos! SDDE</t>
  </si>
  <si>
    <t xml:space="preserve">@Gloria Patricia Velasco 3043566304, 
@Deysi Stephanie sacristán Delgado 319 6220513
@Yesica Paola Castro Gutiérrez 3223669001
@Juan Carlos Romero Romero 3123786700
Solicitante:  Karen Villamil: 3502156722
</t>
  </si>
  <si>
    <t>Graduación grupos impulsa -  Kennedy_Graduación grupos impulsa -  Kennedy</t>
  </si>
  <si>
    <t>¡Felicitaciones! Te invitamos a tu graduación de Grupos Impulsa de Ingreso Minimo Garantizado, Asiste el 20 de agosto a las 9 am en el CCB Kennedy, info 3123592249</t>
  </si>
  <si>
    <t>IMG Inactivos Pasajes Gratis ciclo 8</t>
  </si>
  <si>
    <t xml:space="preserve">Eres persona beneficiaria de pasajes gratis en TransMilenio de Integracion Social, personaliza tu tarjeta, TuLlave y activa tus pasajes. https://cutt.ly/5t5GrlMF
</t>
  </si>
  <si>
    <t xml:space="preserve">@Gloria Patricia Velasco 3043566304
@Deysi Stephanie sacristán Delgado 319 6220513
@Yesica Paola Castro Gutiérrez 3223669001
@Juan Carlos Romero Romero 3123786700
@Anyerson Cardozo Yate 3057278353
Solicitantes:      
•	Raúl Alexis Sierra Calderón – Tel. 3043657484
•	Ronald Albeiro Muñoz Espinoza – Tel. 3107622623
•	Jorge Antonio Lapuente – Tel. 3195980069.
</t>
  </si>
  <si>
    <t>Lidertesas-Agosto</t>
  </si>
  <si>
    <t>¡Nos vemos mañana! Te esperamos a las 7:00 a.m. en la Cr 16 #9-68. Puedes bajarte en la estación temporal Av. Jiménez por la Caracas. No olvides traer tu RUT (si lo tienes) y tu producto. Confirma aquí: https://arcg.is/1q5fmv2</t>
  </si>
  <si>
    <t xml:space="preserve">@Gloria Patricia Velasco 3043566304
@Deysi Stephanie sacristán Delgado 319 6220513
@Yesica Paola Castro Gutiérrez 3223669001
@Juan Carlos Romero Romero 3123786700
@Anyerson Cardozo Yate 3057278353
Solicitantes:  
•	Karen Villamil: 3502156722
</t>
  </si>
  <si>
    <t xml:space="preserve">Mensajes de Texto notificación de pagos IMG Ciclo 7 PI y ED_Notificación de pagos IMG Ciclo 7 PI y ED TM
(Base: IMG Primera Infancia Ciclo 7)
</t>
  </si>
  <si>
    <t>Hola soy el Alcalde Carlos F Galan y te confirmo que la Alcaldia ya realizo el pago de IMG de julio de primera infancia. Revisa https://cutt.ly/Zyd3Be99</t>
  </si>
  <si>
    <t xml:space="preserve">@Gloria Patricia Velasco 3043566304
@Deysi Stephanie sacristán Delgado 319 6220513
@Yesica Paola Castro Gutiérrez 3223669001
@Juan Carlos Romero Romero 3123786700
@Anyerson Cardozo Yate 3057278353
Solicitantes:  
•	Raúl Alexis Sierra Calderón – Tel. 3043657484
•	Ronald Albeiro Muñoz Espinoza – Tel. 3107622623
•	Jorge Antonio Lapuente – Tel. 3195980069.
</t>
  </si>
  <si>
    <t xml:space="preserve">Mensajes de Texto notificación de pagos IMG Ciclo 7 PI y ED_Notificación de pagos IMG Ciclo 7 PI y ED TM
(Base: TM- IMG Educación Ciclo 7)
</t>
  </si>
  <si>
    <t xml:space="preserve">Hola soy el Alcalde Carlos F Galan y te confirmo que la Alcaldía ya realizo el pago de IMG de julio de educación. Revisa https://cutt.ly/Zyd3Be99
</t>
  </si>
  <si>
    <t xml:space="preserve">Solicitud SMS- Campaña notificación de pagos IMG Ciclo 7 _Persona Mayor </t>
  </si>
  <si>
    <t>Hola soy el Alcalde Carlos F Galan y te confirmo que la Alcaldia ya realizo el pago de IMG de julio para Persona mayor. Revisa https://bit.ly/3Pb46oW</t>
  </si>
  <si>
    <t xml:space="preserve">@Gloria Patricia Velasco 3043566304
@Deysi Stephanie sacristán Delgado 319 6220513
@Yesica Paola Castro Gutiérrez 3223669001
@Juan Carlos Romero Romero 3123786700
Solicitantes:  
•	Raúl Alexis Sierra Calderón – Tel. 3043657484
•	Ronald Albeiro Muñoz Espinoza – Tel. 3107622623
•	Jorge Antonio Lapuente – Tel. 3195980069.
</t>
  </si>
  <si>
    <t>Solicitud SMS- Campaña notificación de pagos IMG Ciclo 7 _Personas con Discapacidad</t>
  </si>
  <si>
    <t xml:space="preserve">Hola soy el Alcalde Carlos F Galan y te confirmo que la Alcaldia ya realizo el pago de IMG de julio para Personas con discapacidad.Revisa https://bit.ly/3Pb46oW
</t>
  </si>
  <si>
    <t>Solicitud SMS- Campaña notificación de pagos IMG Ciclo 7 _Personas en condición de Pobreza Extrema</t>
  </si>
  <si>
    <t xml:space="preserve">Hola soy Carlos Fernando Galan y te invito a consultar el pago de IMG de julio para hogares del Sisben A. Revisa tu billetera digital https://bit.ly/3Pb46oW
</t>
  </si>
  <si>
    <t>Solicitud SMS- Campaña notificación de pagos IMG Ciclo 7 _Jóvenes</t>
  </si>
  <si>
    <t> Hola soy el Alcalde Carlos F Galan y te confirmo que la Alcaldia ya realizo el pago de IMG de julio para Jovenes. Revisa https://bit.ly/3Pb46oW</t>
  </si>
  <si>
    <t xml:space="preserve">Campaña_ Cambio Centros de Acopio </t>
  </si>
  <si>
    <t xml:space="preserve"> La Alcaldía Mayor de Bogotá agradece de corazón su apoyo en la recepción de donaciones para la emergencia nacional este domingo 16 de agosto; le informamos que el punto asignado ha cambiado, su nuevo centro de acopio es Usaquén, donde deberá presentarse a las 8:00 am; su solidaridad y compromiso son fundamentales para ayudar a miles de familias afectadas.
</t>
  </si>
  <si>
    <t> 03/09/2026</t>
  </si>
  <si>
    <t xml:space="preserve">  IMG Ciclo 8_TM-PM A-B, TM-IMG PM Tipo C e IMG PM</t>
  </si>
  <si>
    <t xml:space="preserve">Septiembre </t>
  </si>
  <si>
    <t>Contenido del mensaje 1 : 
Hola soy el Alcalde Carlos F Galan y te confirmo que la Alcaldia ya realizo el pago de IMG de agosto para Persona mayor. Revisa https://bit.ly/3Pb46oW</t>
  </si>
  <si>
    <t xml:space="preserve">  IMG Ciclo 8_IMG PCD</t>
  </si>
  <si>
    <t>Hola soy el Alcalde Carlos F Galan y te confirmo que la Alcaldia ya realizo el pago de IMG de agosto para Persona mayor. Revisa https://bit.ly/3Pb46oW</t>
  </si>
  <si>
    <t xml:space="preserve">  IMG Ciclo 8_IMG JOVENES</t>
  </si>
  <si>
    <t xml:space="preserve">Hola soy el Alcalde Carlos F Galan y te confirmo que la Alcaldia ya realizo el pago de IMG de agosto para Personas con discapacidad. https://bit.ly/3Pb46oW
</t>
  </si>
  <si>
    <t xml:space="preserve">  IMG Ciclo 8_TM - POBREZA EXTREMA</t>
  </si>
  <si>
    <t>Hola soy el Alcalde Carlos F Galan y te confirmo que la Alcaldia ya realizo el pago de IMG de agosto para Personas con discapacidad. https://bit.ly/3Pb46oW</t>
  </si>
  <si>
    <t>IMG en tu Localidad Santa Fe_Santa Fe no Bancarizados</t>
  </si>
  <si>
    <t>Integracion Social te espera en IMG en tu Localidad, ven y bancarizate, 10 y 11 de septiembre, CDC Lourdes, Cra 2 # 4-10, 8am a 3pm. https://cutt.ly/GyjWvSrv</t>
  </si>
  <si>
    <t xml:space="preserve">@Gloria Patricia Velasco 3043566304
@Deysi Stephanie sacristán Delgado 319 6220513
@Yesica Paola Castro Gutiérrez 3223669001
@Juan Carlos Romero Romero 3123786700
@Anyerson Cardozo Yate 3057278353
Solicitantes:  
•	Raúl Alexis Sierra Calderón Tel: 3043657484
•	Ronald Albeiro Muñoz Espinoza Tel: 3107622623
</t>
  </si>
  <si>
    <t>IMG en tu Localidad Santa Fe_Adulto Mayor Santa Fe</t>
  </si>
  <si>
    <t xml:space="preserve">Integracion Social, recibe informacion de IMG y Colombia mayor este 10 y 11 de septiembre, CDC Lourdes, Cra 2 # 4-10, 8am a 3pm. https://cutt.ly/GyjWvSrv </t>
  </si>
  <si>
    <t xml:space="preserve">IMG en tu Localidad Santa Fe - Bloqueo por giro </t>
  </si>
  <si>
    <t>Ven a Ingreso Minimo Garantizado en tu Localidad y resuelve dudas del apoyo el 10 y 11 de septiembre CDC Lourdes Cra 2 #4-10 de las 8am a 3pm https://bit.ly/3Pb46oW</t>
  </si>
  <si>
    <t>IMG en tu Localidad Santa Fe - No bancarizados</t>
  </si>
  <si>
    <t xml:space="preserve">Mensajes de Texto notificación de pagos IMG Ciclo 8 _PI </t>
  </si>
  <si>
    <t> Hola soy el Alcalde Carlos F Galan y te confirmo que la Alcaldia ya realizo el pago de IMG de agosto de primera infancia. Revisa: https://bit.ly/3Pb46oW</t>
  </si>
  <si>
    <t xml:space="preserve"> @Gloria Patricia Velasco 3043566304
@Deysi Stephanie sacristán Delgado 319 6220513
@Yesica Paola Castro Gutiérrez 3223669001
@Juan Carlos Romero Romero 3123786700
@Anyerson Cardozo Yate 3057278353
Solicitantes:  
•	Raúl Alexis Sierra Calderón – Tel. 3043657484
•	Ronald Albeiro Muñoz Espinoza – Tel. 3107622623
•	Jorge Antonio Lapuente – Tel. 3195980069.
</t>
  </si>
  <si>
    <t>Mensajes de Texto notificación de pagos IMG Ciclo 8 _ED</t>
  </si>
  <si>
    <t> Hola soy el Alcalde Carlos F Galan y te confirmo que la Alcaldía ya realizo el pago de IMG de agosto de educación. Revisa: https://bit.ly/3Pb46oW</t>
  </si>
  <si>
    <t>Mensajes de Texto notificación de pagos IMG Ciclo 9 Persona Mayor y Pobreza Extrema_IMG Hog Sisben 28sep</t>
  </si>
  <si>
    <t>Hola soy el Alcalde Carlos F Galan y te confirmo que la Alcaldia ya realizo el pago de IMG de septiembre para Persona mayor. Revisa https://bit.ly/3Pb46oW</t>
  </si>
  <si>
    <t xml:space="preserve"> @Gloria Patricia Velasco 3043566304
@Yesica Paola Castro Gutiérrez 3223669001
@Juan Carlos Romero Romero 3123786700
@Anyerson Cardozo Yate 3057278353
Solicitantes:  
•	Raúl Alexis Sierra Calderón – Tel. 3043657484
•	Ronald Albeiro Muñoz Espinoza – Tel. 3107622623
•	Jorge Antonio Lapuente – Tel. 3195980069.
</t>
  </si>
  <si>
    <t> 05/10/2026</t>
  </si>
  <si>
    <t>Mensajes de Texto notificación de pagos IMG Ciclo 9 Persona Mayor y Pobreza Extrema_IMG Persona Mayor 25 Sep</t>
  </si>
  <si>
    <t>Secretaría de Desarrollo Económico</t>
  </si>
  <si>
    <t>Lidertesas-Septiembre</t>
  </si>
  <si>
    <t xml:space="preserve"> ¡Nos vemos mañana! Te esperamos a las 7:00 a.m. en la Cr 16 #9-68. Puedes bajarte en la estación temporal Av. Jiménez por la Caracas. No olvides traer tu RUT (si lo tienes) y tu producto. Confirma aquí: https://arcg.is/1q5fmv2
</t>
  </si>
  <si>
    <t xml:space="preserve"> @Gloria Patricia Velasco 3043566304
@Yesica Paola Castro Gutiérrez 3223669001
@Juan Carlos Romero Romero 3123786700
@Anyerson Cardozo Yate 3057278353
Solicitantes:  
     Karen Villamil: 3502156722
</t>
  </si>
  <si>
    <t> Secretaría de Integración Social</t>
  </si>
  <si>
    <t>Fondo Juventud y Acción Climática</t>
  </si>
  <si>
    <t xml:space="preserve"> Eres joven, tienes entre 15 y 24 y haces parte de una iniciativa por el clima en Bogota? Postulate al Fondo Juventud y Accion Climatica y recibe hasta USD 3.000 para impulsarla. Convocatoria abierta hasta el 4 de octubre. Participa aqui: https://forms.gle/nE9yZLe8aBMACmmg7
</t>
  </si>
  <si>
    <t xml:space="preserve"> @Gloria Patricia Velasco 3043566304
@Yesica Paola Castro Gutiérrez 3223669001
@Juan Carlos Romero Romero 3123786700
@Anyerson Cardozo Yate 3057278353
</t>
  </si>
  <si>
    <t>Campaña IMG al Barrio Puentre Aranda_Bloqueos Colombia mayor</t>
  </si>
  <si>
    <t> Recibe informacion de IMG y Colombia mayor el 30 de septiembre 9 a.m - 4 p.m. Salon comunal Los Sauces, Cll 29 Sur #37-21, info https://cutt.ly/Lyx5HxQU</t>
  </si>
  <si>
    <t xml:space="preserve">@Gloria Patricia Velasco 3043566304
@Yesica Paola Castro Gutiérrez 3223669001
@Juan Carlos Romero Romero 3123786700
@Anyerson Cardozo Yate 3057278353
Solicitantes:  
•	Raúl Alexis Sierra Calderón – Tel. 3043657484
•	Ronald Albeiro Muñoz Espinoza – Tel. 3107622623
•	Jorge Antonio Lapuente – Tel. 3195980069.
</t>
  </si>
  <si>
    <t>Campaña IMG al Barrio Puentre Aranda_Bloqueos IMG</t>
  </si>
  <si>
    <t> Ven a Ingreso Minimo Garantizado al barrio y bancarizate el 30 de septiembre 9 a.m - 4 p.m. Salon comunal Los Sauces, Cll 29 Sur #37-21, info https://cutt.ly/Lyx5HxQU</t>
  </si>
  <si>
    <t> Secretaría General</t>
  </si>
  <si>
    <t xml:space="preserve"> Mensajes de texto Vocímetro</t>
  </si>
  <si>
    <t> ¡Descubre como podrían sonar las voces, los sonidos y los mensajes del Metro de Bogotá ! en menos de 5 minutos, podrás compartir tu opinión y aportar a una mejor experiencia para todas las personas. Ponte los audífonos y participa aquí:👉 https://bogota.gov.co/vocimetro/</t>
  </si>
  <si>
    <t xml:space="preserve"> @Gloria Patricia Velasco 3043566304
@Yesica Paola Castro Gutiérrez 3223669001
@Juan Carlos Romero Romero 3123786700
@Anyerson Cardozo Yate 3057278353
Solicitantes:  
•	José Alejandro Peña Moya 3114665161 / 3013618729 / 3024249034
</t>
  </si>
  <si>
    <t xml:space="preserve">Notificación de pagos IMG Ciclo 9 Pasajes Gratis </t>
  </si>
  <si>
    <t> Recuerda recargar tus pasajes gratis de TransMilenio de septiembre con tu tarjeta personalizada cualquier dia del mes. Mas info aqui https://cutt.ly/1ysz5cu2</t>
  </si>
  <si>
    <t> Secretaria Distrital de Integración Social</t>
  </si>
  <si>
    <t>IMG PCD, Ciclo 9.</t>
  </si>
  <si>
    <t> Hola soy el Alcalde Carlos F Galan y te confirmo que la Alcaldia ya realizo el pago de IMG de septiembre para Personas con discapacidad. https://bit.ly/3Pb46oW</t>
  </si>
  <si>
    <t>IMG Jóvenes, Ciclo 9.</t>
  </si>
  <si>
    <t> Hola soy el Alcalde Carlos F Galan y te confirmo que la Alcaldia ya realizo el pago de IMG de septiembre para Jovenes. Revisa https://bit.ly/3Pb46oW</t>
  </si>
  <si>
    <t>FONCEP se toma San Cristóbal</t>
  </si>
  <si>
    <t> ¡FONCEP se toma tu localidad! Este 8 de octubre de 8 am a 12 m. Llegamos a San Cristóbal con el V Diálogo Ciudadano, bingo, talleres de envejecimiento activo, emprendimiento y vacunación, jornada de trámites pensionales y servicios con entidades del Sector Hacienda. Te esperamos en la Av. 1 de Mayo No. 1-40 Sur Alcaldía San Cristóbal, Inscríbete aquí: https://forms.cloud.microsoft/r/egfsuDDS88</t>
  </si>
  <si>
    <t xml:space="preserve"> @Gloria Patricia Velasco 3043566304
@Yesica Paola Castro Gutiérrez 3223669001
@Juan Carlos Romero Romero 3123786700
@Anyerson Cardozo Yate 3057278353
Solicitantes:  
Andrea Mayerly Ríos Lagos: 3108495908 
</t>
  </si>
  <si>
    <t xml:space="preserve"> Lanzamiento de libro</t>
  </si>
  <si>
    <t> -¡Historias que garantizan derechos! Lanzamiento del libro conmemorativo 20 años del FONCEP. Miércoles, 28 de octubre de 2026, 8:00 am., Auditorio Huitaca, Alcaldía Mayor de Bogotá · Cra. 8 # 10-65. Cupos limitados. Inscríbete aquí: https://acortar.link/fCuLFD</t>
  </si>
  <si>
    <t>Invitación a Grupos Impulsa</t>
  </si>
  <si>
    <t> Fortalece tus emprendimientos y economia en Grupos Impulsa de Ingreso Minimo Garantizado; este 7 de octubre a partir de las 8 am, en el CDC Colinas, Cra. 13B #31G-40 Sur. bit.ly/3Pb46oW</t>
  </si>
  <si>
    <t xml:space="preserve"> @Gloria Patricia Velasco 3043566304
@Yesica Paola Castro Gutiérrez 3223669001
@Juan Carlos Romero Romero 3123786700
@Anyerson Cardozo Yate 3057278353
Solicitantes:  
Camila Andrea Barrera Suarez: 301 495 1840
</t>
  </si>
  <si>
    <t>Primera Infancia IMG, Ciclo 9.</t>
  </si>
  <si>
    <t> Hola soy el Alcalde Carlos F Galan y te confirmo que la Alcaldia ya realizo el pago de IMG de septiembre de primera infancia. Revisa https://cutt.ly/lyQYPc17</t>
  </si>
  <si>
    <t xml:space="preserve"> @Gloria Patricia Velasco 3043566304
@Yesica Paola Castro Gutiérrez 3223669001
@Juan Carlos Romero Romero 3123786700
@Anyerson Cardozo Yate 3057278353
Solicitantes:    
•	Raúl Alexis Sierra Calderón – Tel. 3043657484
•	Ronald Albeiro Muñoz Espinoza – Tel. 3107622623
•	Jorge Antonio Lapuente – Tel. 3195980069.
</t>
  </si>
  <si>
    <t>Educación IMG, Ciclo 9.</t>
  </si>
  <si>
    <t> Hola soy el Alcalde Carlos F Galan y te confirmo que la Alcaldia ya realizo el pago de IMG de septiembre de educación. Revisa https://cutt.ly/lyQYPc17</t>
  </si>
  <si>
    <t>Megaferia de empleabilidad</t>
  </si>
  <si>
    <t xml:space="preserve"> La Consejería de Paz de la alcaldía de Bogotá, te invita a la Megaferia de Empleo. Inscríbete y consulta las vacantes: https://desarrolloeconomico.gov.co/megaferia. Te esperamos el 15 de octubre, de 8 am a 3 pm, en Corferias. Visita nuestro stand de orientación laboral.
</t>
  </si>
  <si>
    <t xml:space="preserve"> @Gloria Patricia Velasco 3043566304
@Yesica Paola Castro Gutiérrez 3223669001
@Juan Carlos Romero Romero 3123786700
@Anyerson Cardozo Yate 3057278353
Solicitantes:  
•	Wilmer García: 3115891382 
</t>
  </si>
  <si>
    <t>Proceso</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</si>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</sst>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 #,##0.00"/>
    <numFmt numFmtId="165" formatCode="_-[$$-409]* #,##0.00_ ;_-[$$-409]* \-#,##0.00\ ;_-[$$-409]* &quot;-&quot;??_ ;_-@_ "/>
  </numFmts>
  <fonts count="23">
    <font>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amily val="2"/>
      <scheme val="minor"/>
    </font>
    <font>
      <sz val="11"/>
      <color theme="1"/>
      <name val="Aptos Narrow"/>
      <family val="2"/>
      <scheme val="minor"/>
    </font>
    <font>
      <sz val="11"/>
      <color rgb="FFFFFFFF"/>
      <name val="Aptos Narrow"/>
      <family val="2"/>
      <scheme val="minor"/>
    </font>
    <font>
      <sz val="10"/>
      <color rgb="FFFFFFFF"/>
      <name val="Aptos Narrow"/>
      <family val="2"/>
      <scheme val="minor"/>
    </font>
    <font>
      <sz val="12"/>
      <color rgb="FF000000"/>
      <name val="Aptos Narrow"/>
      <family val="2"/>
      <scheme val="minor"/>
    </font>
    <font>
      <b/>
      <sz val="10"/>
      <color theme="0"/>
      <name val="Aptos Narrow"/>
      <family val="2"/>
      <scheme val="minor"/>
    </font>
    <font>
      <sz val="12"/>
      <color theme="1"/>
      <name val="Aptos Narrow"/>
      <family val="2"/>
      <scheme val="minor"/>
    </font>
    <font>
      <sz val="11"/>
      <color indexed="8"/>
      <name val="Aptos Narrow"/>
      <family val="2"/>
      <scheme val="minor"/>
    </font>
    <font>
      <sz val="11"/>
      <color theme="1"/>
      <name val="Aptos Narrow"/>
      <family val="2"/>
      <scheme val="minor"/>
    </font>
    <font>
      <sz val="11"/>
      <name val="Aptos Narrow"/>
      <family val="2"/>
      <scheme val="minor"/>
    </font>
    <font>
      <sz val="10"/>
      <name val="Aptos Narrow"/>
      <family val="2"/>
      <scheme val="minor"/>
    </font>
    <font>
      <sz val="10"/>
      <color rgb="FF000000"/>
      <name val="Aptos Narrow"/>
      <family val="2"/>
      <scheme val="minor"/>
    </font>
    <font>
      <sz val="10"/>
      <color theme="1"/>
      <name val="Aptos Narrow"/>
      <family val="2"/>
      <scheme val="minor"/>
    </font>
    <font>
      <sz val="9"/>
      <color rgb="FF000000"/>
      <name val="Aptos Narrow"/>
      <family val="2"/>
      <scheme val="minor"/>
    </font>
    <font>
      <sz val="11"/>
      <color rgb="FF242424"/>
      <name val="Aptos Narrow"/>
      <family val="2"/>
      <scheme val="minor"/>
    </font>
    <font>
      <sz val="11"/>
      <color rgb="FF000000"/>
      <name val="Calibri"/>
      <family val="2"/>
    </font>
    <font>
      <sz val="9"/>
      <color rgb="FF000000"/>
      <name val="Aptos Narrow"/>
      <family val="2"/>
    </font>
    <font>
      <sz val="10"/>
      <color rgb="FF000000"/>
      <name val="Aptos Narrow"/>
      <family val="2"/>
    </font>
    <font>
      <sz val="11"/>
      <name val="Aptos Narrow"/>
      <family val="2"/>
    </font>
    <font>
      <sz val="12"/>
      <color rgb="FF000000"/>
      <name val="Aptos Narrow"/>
      <family val="2"/>
    </font>
  </fonts>
  <fills count="15">
    <fill>
      <patternFill patternType="none"/>
    </fill>
    <fill>
      <patternFill patternType="gray125"/>
    </fill>
    <fill>
      <patternFill patternType="solid">
        <fgColor theme="0"/>
        <bgColor indexed="64"/>
      </patternFill>
    </fill>
    <fill>
      <patternFill patternType="solid">
        <fgColor rgb="FFC00000"/>
        <bgColor rgb="FF000000"/>
      </patternFill>
    </fill>
    <fill>
      <patternFill patternType="solid">
        <fgColor rgb="FFFFFFFF"/>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FFFF00"/>
        <bgColor rgb="FF000000"/>
      </patternFill>
    </fill>
    <fill>
      <patternFill patternType="solid">
        <fgColor rgb="FFFFFFFF"/>
        <bgColor indexed="64"/>
      </patternFill>
    </fill>
    <fill>
      <patternFill patternType="solid">
        <fgColor theme="3" tint="0.89999084444715716"/>
        <bgColor indexed="64"/>
      </patternFill>
    </fill>
    <fill>
      <patternFill patternType="solid">
        <fgColor rgb="FFE8E8E8"/>
        <bgColor rgb="FF000000"/>
      </patternFill>
    </fill>
    <fill>
      <patternFill patternType="solid">
        <fgColor rgb="FFDAE9F8"/>
        <bgColor rgb="FF000000"/>
      </patternFill>
    </fill>
    <fill>
      <patternFill patternType="solid">
        <fgColor rgb="FFD0D0D0"/>
        <bgColor rgb="FF000000"/>
      </patternFill>
    </fill>
    <fill>
      <patternFill patternType="solid">
        <fgColor rgb="FFFFFFFF"/>
        <bgColor rgb="FFC0E6F5"/>
      </patternFill>
    </fill>
    <fill>
      <patternFill patternType="solid">
        <fgColor rgb="FF83CCEB"/>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right/>
      <top style="thin">
        <color theme="9" tint="0.39997558519241921"/>
      </top>
      <bottom style="thin">
        <color theme="9" tint="0.39997558519241921"/>
      </bottom>
      <diagonal/>
    </border>
    <border>
      <left style="thin">
        <color auto="1"/>
      </left>
      <right style="medium">
        <color indexed="64"/>
      </right>
      <top style="thin">
        <color auto="1"/>
      </top>
      <bottom style="thin">
        <color auto="1"/>
      </bottom>
      <diagonal/>
    </border>
    <border>
      <left/>
      <right style="medium">
        <color indexed="64"/>
      </right>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bottom style="thin">
        <color indexed="64"/>
      </bottom>
      <diagonal/>
    </border>
    <border>
      <left/>
      <right/>
      <top/>
      <bottom style="thin">
        <color rgb="FF000000"/>
      </bottom>
      <diagonal/>
    </border>
    <border>
      <left/>
      <right style="thin">
        <color indexed="64"/>
      </right>
      <top style="thin">
        <color indexed="64"/>
      </top>
      <bottom style="thin">
        <color indexed="64"/>
      </bottom>
      <diagonal/>
    </border>
    <border>
      <left/>
      <right style="thin">
        <color rgb="FF000000"/>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9" fontId="4" fillId="0" borderId="0" applyFont="0" applyFill="0" applyBorder="0" applyAlignment="0" applyProtection="0"/>
  </cellStyleXfs>
  <cellXfs count="232">
    <xf numFmtId="0" fontId="0" fillId="0" borderId="0" xfId="0"/>
    <xf numFmtId="0" fontId="2" fillId="0" borderId="0" xfId="0" applyFont="1"/>
    <xf numFmtId="0" fontId="15" fillId="2" borderId="0" xfId="0" applyFont="1" applyFill="1" applyAlignment="1">
      <alignment horizontal="center" vertical="center"/>
    </xf>
    <xf numFmtId="0" fontId="16"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9" fontId="7" fillId="0" borderId="8" xfId="0" applyNumberFormat="1" applyFont="1" applyBorder="1" applyAlignment="1">
      <alignment horizontal="center" vertical="center"/>
    </xf>
    <xf numFmtId="0" fontId="3" fillId="0" borderId="2" xfId="0" applyFont="1" applyBorder="1" applyAlignment="1">
      <alignment horizontal="center" vertical="top" wrapText="1"/>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2" xfId="0" applyFont="1" applyFill="1" applyBorder="1" applyAlignment="1">
      <alignment horizontal="center" vertical="center"/>
    </xf>
    <xf numFmtId="0" fontId="6" fillId="6" borderId="2" xfId="0" applyFont="1" applyFill="1" applyBorder="1" applyAlignment="1">
      <alignment horizontal="center" vertical="center"/>
    </xf>
    <xf numFmtId="0" fontId="7" fillId="7" borderId="2" xfId="0" applyFont="1" applyFill="1" applyBorder="1" applyAlignment="1">
      <alignment horizontal="left" vertical="center"/>
    </xf>
    <xf numFmtId="0" fontId="6"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xf>
    <xf numFmtId="10" fontId="10" fillId="2" borderId="2" xfId="0" applyNumberFormat="1" applyFont="1" applyFill="1" applyBorder="1" applyAlignment="1">
      <alignment horizontal="center" vertical="center"/>
    </xf>
    <xf numFmtId="165" fontId="3" fillId="2" borderId="2" xfId="0" applyNumberFormat="1" applyFont="1" applyFill="1" applyBorder="1" applyAlignment="1">
      <alignment horizontal="center" vertical="center"/>
    </xf>
    <xf numFmtId="0" fontId="3" fillId="2" borderId="2" xfId="0" applyFont="1" applyFill="1" applyBorder="1" applyAlignment="1">
      <alignment horizontal="left" vertical="center"/>
    </xf>
    <xf numFmtId="0" fontId="3" fillId="2" borderId="0" xfId="0" applyFont="1" applyFill="1" applyAlignment="1">
      <alignment horizontal="center" vertical="center"/>
    </xf>
    <xf numFmtId="3" fontId="3" fillId="2" borderId="0" xfId="0" applyNumberFormat="1" applyFont="1" applyFill="1" applyAlignment="1">
      <alignment horizontal="center" vertical="center"/>
    </xf>
    <xf numFmtId="164" fontId="3" fillId="2" borderId="0" xfId="0" applyNumberFormat="1" applyFont="1" applyFill="1" applyAlignment="1">
      <alignment horizontal="center" vertical="center"/>
    </xf>
    <xf numFmtId="0" fontId="3" fillId="2" borderId="0" xfId="0" applyFont="1" applyFill="1" applyAlignment="1">
      <alignment horizontal="center" vertical="center" wrapText="1"/>
    </xf>
    <xf numFmtId="14" fontId="3" fillId="2" borderId="4" xfId="0" applyNumberFormat="1" applyFont="1" applyFill="1" applyBorder="1" applyAlignment="1">
      <alignment horizontal="center" vertical="center"/>
    </xf>
    <xf numFmtId="10" fontId="3" fillId="2" borderId="2" xfId="0" applyNumberFormat="1" applyFont="1" applyFill="1" applyBorder="1" applyAlignment="1">
      <alignment horizontal="center" vertical="center"/>
    </xf>
    <xf numFmtId="10" fontId="13" fillId="2" borderId="2" xfId="0" applyNumberFormat="1" applyFont="1" applyFill="1" applyBorder="1" applyAlignment="1">
      <alignment horizontal="center" vertical="center"/>
    </xf>
    <xf numFmtId="10" fontId="3" fillId="2"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xf>
    <xf numFmtId="0" fontId="3" fillId="5" borderId="2" xfId="0" applyFont="1" applyFill="1" applyBorder="1" applyAlignment="1">
      <alignment horizontal="center" vertical="center" wrapText="1"/>
    </xf>
    <xf numFmtId="14" fontId="3" fillId="5" borderId="2" xfId="0" applyNumberFormat="1" applyFont="1" applyFill="1" applyBorder="1" applyAlignment="1">
      <alignment horizontal="center" vertical="center" wrapText="1"/>
    </xf>
    <xf numFmtId="14" fontId="3" fillId="5" borderId="4" xfId="0" applyNumberFormat="1" applyFont="1" applyFill="1" applyBorder="1" applyAlignment="1">
      <alignment horizontal="center" vertical="center"/>
    </xf>
    <xf numFmtId="14" fontId="3" fillId="5" borderId="2" xfId="0" applyNumberFormat="1" applyFont="1" applyFill="1" applyBorder="1" applyAlignment="1">
      <alignment horizontal="center" vertical="center"/>
    </xf>
    <xf numFmtId="165" fontId="3" fillId="5" borderId="2" xfId="0" applyNumberFormat="1" applyFont="1" applyFill="1" applyBorder="1" applyAlignment="1">
      <alignment horizontal="center" vertical="center"/>
    </xf>
    <xf numFmtId="0" fontId="3" fillId="5" borderId="2" xfId="0" applyFont="1" applyFill="1" applyBorder="1" applyAlignment="1">
      <alignment horizontal="left" vertical="center"/>
    </xf>
    <xf numFmtId="0" fontId="3" fillId="5" borderId="0" xfId="0" applyFont="1" applyFill="1" applyAlignment="1">
      <alignment horizontal="center" vertical="center"/>
    </xf>
    <xf numFmtId="3" fontId="3" fillId="5" borderId="0" xfId="0" applyNumberFormat="1" applyFont="1" applyFill="1" applyAlignment="1">
      <alignment horizontal="center" vertical="center"/>
    </xf>
    <xf numFmtId="164" fontId="3" fillId="5" borderId="0" xfId="0" applyNumberFormat="1" applyFont="1" applyFill="1" applyAlignment="1">
      <alignment horizontal="center" vertical="center"/>
    </xf>
    <xf numFmtId="0" fontId="3" fillId="5" borderId="0" xfId="0" applyFont="1" applyFill="1" applyAlignment="1">
      <alignment horizontal="center" vertical="center" wrapText="1"/>
    </xf>
    <xf numFmtId="0" fontId="9" fillId="5" borderId="0" xfId="0" applyFont="1" applyFill="1" applyAlignment="1">
      <alignment horizontal="center" vertical="center"/>
    </xf>
    <xf numFmtId="14" fontId="14" fillId="2" borderId="2" xfId="0" applyNumberFormat="1" applyFont="1" applyFill="1" applyBorder="1" applyAlignment="1">
      <alignment horizontal="center" vertical="center"/>
    </xf>
    <xf numFmtId="164" fontId="14" fillId="2" borderId="0" xfId="0" applyNumberFormat="1" applyFont="1" applyFill="1" applyAlignment="1">
      <alignment horizontal="center" vertical="center"/>
    </xf>
    <xf numFmtId="10" fontId="3" fillId="2" borderId="0" xfId="0" applyNumberFormat="1" applyFont="1" applyFill="1" applyAlignment="1">
      <alignment horizontal="center" vertical="center"/>
    </xf>
    <xf numFmtId="0" fontId="15" fillId="2" borderId="0" xfId="0" quotePrefix="1" applyFont="1" applyFill="1" applyAlignment="1">
      <alignment horizontal="center" vertical="center" wrapText="1"/>
    </xf>
    <xf numFmtId="14" fontId="15" fillId="2" borderId="0" xfId="0" applyNumberFormat="1" applyFont="1" applyFill="1" applyAlignment="1">
      <alignment horizontal="center" vertical="center"/>
    </xf>
    <xf numFmtId="10" fontId="14" fillId="2" borderId="2" xfId="0" applyNumberFormat="1" applyFont="1" applyFill="1" applyBorder="1" applyAlignment="1">
      <alignment horizontal="center" vertical="center"/>
    </xf>
    <xf numFmtId="0" fontId="14" fillId="2"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0" xfId="0" applyFont="1" applyFill="1" applyAlignment="1">
      <alignment horizontal="center" vertical="center" wrapText="1"/>
    </xf>
    <xf numFmtId="9" fontId="14" fillId="2" borderId="2" xfId="0" applyNumberFormat="1" applyFont="1" applyFill="1" applyBorder="1" applyAlignment="1">
      <alignment horizontal="center" vertical="center"/>
    </xf>
    <xf numFmtId="9" fontId="15" fillId="2" borderId="0" xfId="0" applyNumberFormat="1" applyFont="1" applyFill="1" applyAlignment="1">
      <alignment horizontal="center" vertical="center"/>
    </xf>
    <xf numFmtId="3" fontId="12" fillId="2" borderId="0" xfId="0" applyNumberFormat="1" applyFont="1" applyFill="1" applyAlignment="1">
      <alignment horizontal="center" vertical="center"/>
    </xf>
    <xf numFmtId="9" fontId="3" fillId="2" borderId="2" xfId="0" applyNumberFormat="1" applyFont="1" applyFill="1" applyBorder="1" applyAlignment="1">
      <alignment horizontal="center" vertical="center"/>
    </xf>
    <xf numFmtId="0" fontId="16" fillId="2" borderId="2" xfId="0" quotePrefix="1" applyFont="1" applyFill="1" applyBorder="1" applyAlignment="1">
      <alignment horizontal="center" vertical="center" wrapText="1"/>
    </xf>
    <xf numFmtId="10" fontId="12" fillId="2" borderId="2" xfId="2" applyNumberFormat="1" applyFont="1" applyFill="1" applyBorder="1" applyAlignment="1">
      <alignment horizontal="center" vertical="center"/>
    </xf>
    <xf numFmtId="10" fontId="3" fillId="2" borderId="0" xfId="0" applyNumberFormat="1" applyFont="1" applyFill="1" applyAlignment="1">
      <alignment vertical="center"/>
    </xf>
    <xf numFmtId="10" fontId="7" fillId="0" borderId="2" xfId="0" applyNumberFormat="1" applyFont="1" applyBorder="1" applyAlignment="1">
      <alignment horizontal="center" vertical="center" wrapText="1"/>
    </xf>
    <xf numFmtId="0" fontId="3" fillId="4" borderId="2" xfId="0" applyFont="1" applyFill="1" applyBorder="1" applyAlignment="1">
      <alignment horizontal="center" vertical="center"/>
    </xf>
    <xf numFmtId="14" fontId="3" fillId="4" borderId="2" xfId="0" applyNumberFormat="1" applyFont="1" applyFill="1" applyBorder="1" applyAlignment="1">
      <alignment horizontal="center" vertical="center" wrapText="1"/>
    </xf>
    <xf numFmtId="0" fontId="3" fillId="0" borderId="2" xfId="0" applyFont="1" applyBorder="1" applyAlignment="1">
      <alignment horizontal="center" vertical="center"/>
    </xf>
    <xf numFmtId="14" fontId="3" fillId="4" borderId="4" xfId="0" applyNumberFormat="1" applyFont="1" applyFill="1" applyBorder="1" applyAlignment="1">
      <alignment horizontal="center" vertical="center" wrapText="1"/>
    </xf>
    <xf numFmtId="14" fontId="3" fillId="0" borderId="2" xfId="0" applyNumberFormat="1" applyFont="1" applyBorder="1" applyAlignment="1">
      <alignment horizontal="center" vertical="center"/>
    </xf>
    <xf numFmtId="10" fontId="3" fillId="0" borderId="2" xfId="0" applyNumberFormat="1" applyFont="1" applyBorder="1" applyAlignment="1">
      <alignment horizontal="center" vertical="center"/>
    </xf>
    <xf numFmtId="14" fontId="3" fillId="2" borderId="2" xfId="0" applyNumberFormat="1" applyFont="1" applyFill="1" applyBorder="1" applyAlignment="1">
      <alignment horizontal="left" vertical="center" wrapText="1"/>
    </xf>
    <xf numFmtId="14" fontId="3" fillId="2" borderId="0" xfId="0" applyNumberFormat="1" applyFont="1" applyFill="1" applyAlignment="1">
      <alignment horizontal="center" vertical="center"/>
    </xf>
    <xf numFmtId="0" fontId="16" fillId="2" borderId="0" xfId="0" applyFont="1" applyFill="1" applyAlignment="1">
      <alignment vertical="center" wrapText="1"/>
    </xf>
    <xf numFmtId="0" fontId="16" fillId="2" borderId="0" xfId="0" quotePrefix="1" applyFont="1" applyFill="1" applyAlignment="1">
      <alignment vertical="center" wrapText="1"/>
    </xf>
    <xf numFmtId="165" fontId="3" fillId="2" borderId="0" xfId="0" applyNumberFormat="1" applyFont="1" applyFill="1" applyAlignment="1">
      <alignment horizontal="center" vertical="center"/>
    </xf>
    <xf numFmtId="14" fontId="14" fillId="2" borderId="0" xfId="0" applyNumberFormat="1" applyFont="1" applyFill="1" applyAlignment="1">
      <alignment horizontal="center" vertical="center"/>
    </xf>
    <xf numFmtId="10" fontId="3" fillId="0" borderId="2" xfId="0" applyNumberFormat="1" applyFont="1" applyBorder="1" applyAlignment="1">
      <alignment horizontal="center" vertical="center" wrapText="1"/>
    </xf>
    <xf numFmtId="9" fontId="3" fillId="0" borderId="2" xfId="0" applyNumberFormat="1" applyFont="1" applyBorder="1" applyAlignment="1">
      <alignment horizontal="center" vertical="center"/>
    </xf>
    <xf numFmtId="0" fontId="3" fillId="4" borderId="7"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3" xfId="0" applyFont="1" applyBorder="1" applyAlignment="1">
      <alignment horizontal="center" vertical="center"/>
    </xf>
    <xf numFmtId="0" fontId="3" fillId="4"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11" fillId="0" borderId="2" xfId="0" applyFont="1" applyBorder="1" applyAlignment="1">
      <alignment horizontal="center" vertical="center"/>
    </xf>
    <xf numFmtId="0" fontId="3" fillId="0" borderId="6" xfId="0" applyFont="1" applyBorder="1" applyAlignment="1">
      <alignment horizontal="center" vertical="center"/>
    </xf>
    <xf numFmtId="0" fontId="3" fillId="0" borderId="2" xfId="0" quotePrefix="1" applyFont="1" applyBorder="1" applyAlignment="1">
      <alignment horizontal="center" vertical="center"/>
    </xf>
    <xf numFmtId="0" fontId="12" fillId="2" borderId="0" xfId="0" applyFont="1" applyFill="1" applyAlignment="1">
      <alignment vertical="center"/>
    </xf>
    <xf numFmtId="165" fontId="3" fillId="4" borderId="2" xfId="0" applyNumberFormat="1" applyFont="1" applyFill="1" applyBorder="1" applyAlignment="1">
      <alignment horizontal="center" vertical="center"/>
    </xf>
    <xf numFmtId="10" fontId="3" fillId="0" borderId="1" xfId="0" applyNumberFormat="1" applyFont="1" applyBorder="1" applyAlignment="1">
      <alignment horizontal="center" vertical="center"/>
    </xf>
    <xf numFmtId="0" fontId="3" fillId="2" borderId="7" xfId="0" applyFont="1" applyFill="1" applyBorder="1" applyAlignment="1">
      <alignment horizontal="center" vertical="center"/>
    </xf>
    <xf numFmtId="0" fontId="3" fillId="0" borderId="7" xfId="0" applyFont="1" applyBorder="1" applyAlignment="1">
      <alignment horizontal="center" vertical="center"/>
    </xf>
    <xf numFmtId="165" fontId="3" fillId="4" borderId="7" xfId="0" applyNumberFormat="1" applyFont="1" applyFill="1" applyBorder="1" applyAlignment="1">
      <alignment horizontal="center" vertical="center"/>
    </xf>
    <xf numFmtId="14" fontId="3" fillId="0" borderId="7"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3" fontId="3" fillId="0" borderId="2" xfId="0" quotePrefix="1" applyNumberFormat="1" applyFont="1" applyBorder="1" applyAlignment="1">
      <alignment horizontal="center" vertical="center"/>
    </xf>
    <xf numFmtId="0" fontId="15" fillId="0" borderId="2" xfId="0" applyFont="1" applyBorder="1" applyAlignment="1">
      <alignment horizontal="center" vertical="center"/>
    </xf>
    <xf numFmtId="10" fontId="3" fillId="0" borderId="0" xfId="0" applyNumberFormat="1" applyFont="1" applyAlignment="1">
      <alignment horizontal="center" vertical="center"/>
    </xf>
    <xf numFmtId="10" fontId="0" fillId="0" borderId="2" xfId="0" applyNumberFormat="1" applyBorder="1" applyAlignment="1">
      <alignment horizontal="center"/>
    </xf>
    <xf numFmtId="0" fontId="3" fillId="4" borderId="7" xfId="0" applyFont="1" applyFill="1" applyBorder="1" applyAlignment="1">
      <alignment horizontal="center" vertical="center"/>
    </xf>
    <xf numFmtId="0" fontId="3" fillId="0" borderId="7" xfId="0" applyFont="1" applyBorder="1" applyAlignment="1">
      <alignment horizontal="center" vertical="center" wrapText="1"/>
    </xf>
    <xf numFmtId="14" fontId="3" fillId="2" borderId="7" xfId="0" applyNumberFormat="1" applyFont="1" applyFill="1" applyBorder="1" applyAlignment="1">
      <alignment horizontal="center" vertical="center"/>
    </xf>
    <xf numFmtId="0" fontId="3" fillId="4" borderId="3" xfId="0" applyFont="1" applyFill="1" applyBorder="1" applyAlignment="1">
      <alignment horizontal="center" vertical="center"/>
    </xf>
    <xf numFmtId="3" fontId="3" fillId="2" borderId="2" xfId="0" quotePrefix="1" applyNumberFormat="1" applyFont="1" applyFill="1" applyBorder="1" applyAlignment="1">
      <alignment horizontal="center" vertical="center"/>
    </xf>
    <xf numFmtId="0" fontId="3" fillId="0" borderId="3" xfId="0" applyFont="1" applyBorder="1" applyAlignment="1">
      <alignment horizontal="center" vertical="center" wrapText="1"/>
    </xf>
    <xf numFmtId="3" fontId="15" fillId="0" borderId="2" xfId="0" applyNumberFormat="1" applyFont="1" applyBorder="1" applyAlignment="1">
      <alignment horizontal="center" vertical="center"/>
    </xf>
    <xf numFmtId="10" fontId="0" fillId="2" borderId="2" xfId="0" applyNumberFormat="1" applyFill="1" applyBorder="1" applyAlignment="1">
      <alignment horizontal="center"/>
    </xf>
    <xf numFmtId="0" fontId="5" fillId="3" borderId="7" xfId="0" applyFont="1" applyFill="1" applyBorder="1" applyAlignment="1">
      <alignment horizontal="center" vertical="center"/>
    </xf>
    <xf numFmtId="165" fontId="3" fillId="4" borderId="5" xfId="0" applyNumberFormat="1" applyFont="1" applyFill="1" applyBorder="1" applyAlignment="1">
      <alignment horizontal="center" vertical="center"/>
    </xf>
    <xf numFmtId="165" fontId="3" fillId="2" borderId="5" xfId="0" applyNumberFormat="1" applyFont="1" applyFill="1" applyBorder="1" applyAlignment="1">
      <alignment horizontal="center" vertical="center"/>
    </xf>
    <xf numFmtId="165" fontId="3" fillId="4" borderId="15" xfId="0" applyNumberFormat="1" applyFont="1" applyFill="1" applyBorder="1" applyAlignment="1">
      <alignment horizontal="center" vertical="center"/>
    </xf>
    <xf numFmtId="165" fontId="3" fillId="4" borderId="6" xfId="0" applyNumberFormat="1" applyFont="1" applyFill="1" applyBorder="1" applyAlignment="1">
      <alignment horizontal="center" vertical="center"/>
    </xf>
    <xf numFmtId="165" fontId="3" fillId="2" borderId="6" xfId="0" applyNumberFormat="1" applyFont="1" applyFill="1" applyBorder="1" applyAlignment="1">
      <alignment horizontal="center" vertical="center"/>
    </xf>
    <xf numFmtId="0" fontId="3" fillId="9" borderId="2" xfId="0" applyFont="1" applyFill="1" applyBorder="1" applyAlignment="1">
      <alignment horizontal="center" vertical="center"/>
    </xf>
    <xf numFmtId="14" fontId="3" fillId="9" borderId="2" xfId="0" applyNumberFormat="1" applyFont="1" applyFill="1" applyBorder="1" applyAlignment="1">
      <alignment horizontal="center" vertical="center"/>
    </xf>
    <xf numFmtId="0" fontId="3" fillId="9" borderId="2" xfId="0" applyFont="1" applyFill="1" applyBorder="1" applyAlignment="1">
      <alignment horizontal="center" vertical="top" wrapText="1"/>
    </xf>
    <xf numFmtId="165" fontId="3" fillId="9" borderId="2" xfId="0" applyNumberFormat="1" applyFont="1" applyFill="1" applyBorder="1" applyAlignment="1">
      <alignment horizontal="center" vertical="center"/>
    </xf>
    <xf numFmtId="0" fontId="15" fillId="9" borderId="0" xfId="0" applyFont="1" applyFill="1" applyAlignment="1">
      <alignment horizontal="center" vertical="center"/>
    </xf>
    <xf numFmtId="0" fontId="9" fillId="9"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applyAlignment="1">
      <alignment horizontal="center" vertical="center"/>
    </xf>
    <xf numFmtId="14" fontId="4" fillId="2" borderId="0" xfId="0" applyNumberFormat="1" applyFont="1" applyFill="1" applyAlignment="1">
      <alignment horizontal="center" vertical="center"/>
    </xf>
    <xf numFmtId="14" fontId="4" fillId="2" borderId="2" xfId="0" applyNumberFormat="1" applyFont="1" applyFill="1" applyBorder="1" applyAlignment="1">
      <alignment horizontal="center" vertical="center"/>
    </xf>
    <xf numFmtId="14" fontId="4" fillId="2" borderId="4" xfId="0" applyNumberFormat="1" applyFont="1" applyFill="1" applyBorder="1" applyAlignment="1">
      <alignment horizontal="center" vertical="center"/>
    </xf>
    <xf numFmtId="10" fontId="4" fillId="2" borderId="0" xfId="0" applyNumberFormat="1" applyFont="1" applyFill="1" applyAlignment="1">
      <alignment horizontal="center" vertical="center"/>
    </xf>
    <xf numFmtId="9" fontId="4" fillId="2" borderId="0" xfId="0" applyNumberFormat="1" applyFont="1" applyFill="1" applyAlignment="1">
      <alignment horizontal="center" vertical="center"/>
    </xf>
    <xf numFmtId="9" fontId="4" fillId="2" borderId="0" xfId="0" applyNumberFormat="1" applyFont="1" applyFill="1" applyAlignment="1">
      <alignment horizontal="center" vertical="center" wrapText="1"/>
    </xf>
    <xf numFmtId="0" fontId="4" fillId="2" borderId="0" xfId="0" quotePrefix="1" applyFont="1" applyFill="1" applyAlignment="1">
      <alignment horizontal="center" vertical="center" wrapText="1"/>
    </xf>
    <xf numFmtId="0" fontId="4" fillId="5" borderId="0" xfId="0" applyFont="1" applyFill="1" applyAlignment="1">
      <alignment horizontal="center" vertical="center" wrapText="1"/>
    </xf>
    <xf numFmtId="0" fontId="4" fillId="5" borderId="0" xfId="0" applyFont="1" applyFill="1" applyAlignment="1">
      <alignment horizontal="center" vertical="center"/>
    </xf>
    <xf numFmtId="14" fontId="4" fillId="5" borderId="0" xfId="0" applyNumberFormat="1" applyFont="1" applyFill="1" applyAlignment="1">
      <alignment horizontal="center" vertical="center"/>
    </xf>
    <xf numFmtId="10" fontId="4" fillId="2" borderId="2" xfId="0" applyNumberFormat="1" applyFont="1" applyFill="1" applyBorder="1" applyAlignment="1">
      <alignment horizontal="center" vertical="center"/>
    </xf>
    <xf numFmtId="3" fontId="4" fillId="2" borderId="0" xfId="0" applyNumberFormat="1" applyFont="1" applyFill="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xf>
    <xf numFmtId="0" fontId="4" fillId="2" borderId="0" xfId="0" applyFont="1" applyFill="1" applyAlignment="1">
      <alignment vertical="center"/>
    </xf>
    <xf numFmtId="10" fontId="4" fillId="2" borderId="0" xfId="0" applyNumberFormat="1" applyFont="1" applyFill="1" applyAlignment="1">
      <alignment vertical="center"/>
    </xf>
    <xf numFmtId="10" fontId="4" fillId="0" borderId="1" xfId="0" applyNumberFormat="1" applyFont="1" applyBorder="1" applyAlignment="1">
      <alignment horizontal="center" vertical="center"/>
    </xf>
    <xf numFmtId="9" fontId="4" fillId="0" borderId="0" xfId="0" applyNumberFormat="1" applyFont="1" applyAlignment="1">
      <alignment horizontal="center" vertical="center"/>
    </xf>
    <xf numFmtId="10" fontId="4" fillId="0" borderId="0" xfId="0" applyNumberFormat="1" applyFont="1" applyAlignment="1">
      <alignment horizontal="center" vertical="center"/>
    </xf>
    <xf numFmtId="9" fontId="4" fillId="0" borderId="1" xfId="0" applyNumberFormat="1" applyFont="1" applyBorder="1" applyAlignment="1">
      <alignment horizontal="center" vertical="center"/>
    </xf>
    <xf numFmtId="10" fontId="4" fillId="9" borderId="1" xfId="0" applyNumberFormat="1" applyFont="1" applyFill="1" applyBorder="1" applyAlignment="1">
      <alignment horizontal="center" vertical="center"/>
    </xf>
    <xf numFmtId="10" fontId="4" fillId="0" borderId="10" xfId="0" applyNumberFormat="1" applyFont="1" applyBorder="1" applyAlignment="1">
      <alignment horizontal="center" vertical="center"/>
    </xf>
    <xf numFmtId="10" fontId="4" fillId="2" borderId="10" xfId="0"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10" fontId="4" fillId="2" borderId="11" xfId="0" applyNumberFormat="1" applyFont="1" applyFill="1" applyBorder="1" applyAlignment="1">
      <alignment horizontal="center" vertical="center"/>
    </xf>
    <xf numFmtId="10" fontId="4" fillId="0" borderId="11" xfId="0" applyNumberFormat="1" applyFont="1" applyBorder="1" applyAlignment="1">
      <alignment horizontal="center" vertical="center"/>
    </xf>
    <xf numFmtId="10" fontId="4" fillId="0" borderId="2" xfId="0" applyNumberFormat="1" applyFont="1" applyBorder="1" applyAlignment="1">
      <alignment horizontal="center" vertical="center"/>
    </xf>
    <xf numFmtId="10" fontId="4" fillId="0" borderId="7" xfId="0" applyNumberFormat="1" applyFont="1" applyBorder="1" applyAlignment="1">
      <alignment horizontal="center" vertical="center"/>
    </xf>
    <xf numFmtId="0" fontId="1" fillId="2" borderId="2" xfId="1" applyFill="1" applyBorder="1" applyAlignment="1">
      <alignment horizontal="center" vertical="center"/>
    </xf>
    <xf numFmtId="0" fontId="15" fillId="2" borderId="0" xfId="0" quotePrefix="1" applyFont="1" applyFill="1" applyAlignment="1">
      <alignment horizontal="center" vertical="center" wrapText="1"/>
    </xf>
    <xf numFmtId="3" fontId="2" fillId="4" borderId="2" xfId="0" applyNumberFormat="1" applyFont="1" applyFill="1" applyBorder="1" applyAlignment="1">
      <alignment horizontal="center"/>
    </xf>
    <xf numFmtId="3" fontId="2" fillId="4" borderId="3" xfId="0" applyNumberFormat="1" applyFont="1" applyFill="1" applyBorder="1" applyAlignment="1">
      <alignment horizontal="center"/>
    </xf>
    <xf numFmtId="3" fontId="21" fillId="4" borderId="3" xfId="0" applyNumberFormat="1" applyFont="1" applyFill="1" applyBorder="1" applyAlignment="1">
      <alignment horizontal="center"/>
    </xf>
    <xf numFmtId="3" fontId="2" fillId="4" borderId="3" xfId="0" applyNumberFormat="1" applyFont="1" applyFill="1" applyBorder="1" applyAlignment="1">
      <alignment horizontal="center" wrapText="1"/>
    </xf>
    <xf numFmtId="0" fontId="2" fillId="4" borderId="3" xfId="0" applyFont="1" applyFill="1" applyBorder="1" applyAlignment="1">
      <alignment horizontal="center" wrapText="1"/>
    </xf>
    <xf numFmtId="3" fontId="2" fillId="12" borderId="3" xfId="0" applyNumberFormat="1" applyFont="1" applyFill="1" applyBorder="1" applyAlignment="1">
      <alignment horizontal="center"/>
    </xf>
    <xf numFmtId="0" fontId="2" fillId="4" borderId="3" xfId="0" applyFont="1" applyFill="1" applyBorder="1" applyAlignment="1">
      <alignment horizontal="center"/>
    </xf>
    <xf numFmtId="3" fontId="2" fillId="0" borderId="3" xfId="0" applyNumberFormat="1" applyFont="1" applyFill="1" applyBorder="1" applyAlignment="1">
      <alignment horizontal="center" wrapText="1"/>
    </xf>
    <xf numFmtId="0" fontId="22" fillId="0" borderId="3" xfId="0" applyFont="1" applyFill="1" applyBorder="1" applyAlignment="1">
      <alignment horizontal="center" wrapText="1"/>
    </xf>
    <xf numFmtId="0" fontId="22" fillId="4" borderId="3" xfId="0" applyFont="1" applyFill="1" applyBorder="1" applyAlignment="1">
      <alignment horizontal="center" wrapText="1"/>
    </xf>
    <xf numFmtId="3" fontId="2" fillId="0" borderId="3" xfId="0" applyNumberFormat="1" applyFont="1" applyFill="1" applyBorder="1" applyAlignment="1">
      <alignment horizontal="center"/>
    </xf>
    <xf numFmtId="0" fontId="2" fillId="0" borderId="3" xfId="0" applyFont="1" applyFill="1" applyBorder="1" applyAlignment="1">
      <alignment horizontal="center"/>
    </xf>
    <xf numFmtId="3" fontId="2" fillId="0" borderId="13" xfId="0" applyNumberFormat="1" applyFont="1" applyFill="1" applyBorder="1" applyAlignment="1">
      <alignment horizontal="center"/>
    </xf>
    <xf numFmtId="3" fontId="2" fillId="0" borderId="0" xfId="0" applyNumberFormat="1" applyFont="1" applyFill="1" applyBorder="1" applyAlignment="1">
      <alignment horizontal="center"/>
    </xf>
    <xf numFmtId="0" fontId="2" fillId="0" borderId="2" xfId="0" applyFont="1" applyFill="1" applyBorder="1" applyAlignment="1">
      <alignment horizontal="center"/>
    </xf>
    <xf numFmtId="3" fontId="2" fillId="4" borderId="13" xfId="0" applyNumberFormat="1" applyFont="1" applyFill="1" applyBorder="1" applyAlignment="1">
      <alignment horizontal="center" wrapText="1"/>
    </xf>
    <xf numFmtId="0" fontId="2" fillId="0" borderId="0" xfId="0" applyFont="1" applyFill="1" applyBorder="1" applyAlignment="1">
      <alignment horizontal="center"/>
    </xf>
    <xf numFmtId="3" fontId="2" fillId="0" borderId="2" xfId="0" applyNumberFormat="1" applyFont="1" applyFill="1" applyBorder="1" applyAlignment="1">
      <alignment horizontal="center"/>
    </xf>
    <xf numFmtId="0" fontId="2" fillId="0" borderId="13" xfId="0" applyFont="1" applyFill="1" applyBorder="1" applyAlignment="1">
      <alignment horizontal="center"/>
    </xf>
    <xf numFmtId="3" fontId="2" fillId="11" borderId="1" xfId="0" applyNumberFormat="1" applyFont="1" applyFill="1" applyBorder="1" applyAlignment="1">
      <alignment horizontal="center"/>
    </xf>
    <xf numFmtId="3" fontId="2" fillId="11" borderId="13" xfId="0" applyNumberFormat="1" applyFont="1" applyFill="1" applyBorder="1" applyAlignment="1">
      <alignment horizontal="center"/>
    </xf>
    <xf numFmtId="3" fontId="21" fillId="4" borderId="13" xfId="0" applyNumberFormat="1" applyFont="1" applyFill="1" applyBorder="1" applyAlignment="1">
      <alignment horizontal="center"/>
    </xf>
    <xf numFmtId="3" fontId="2" fillId="4" borderId="13" xfId="0" applyNumberFormat="1" applyFont="1" applyFill="1" applyBorder="1" applyAlignment="1">
      <alignment horizontal="center"/>
    </xf>
    <xf numFmtId="3" fontId="2" fillId="14" borderId="0" xfId="0" applyNumberFormat="1" applyFont="1" applyFill="1" applyBorder="1" applyAlignment="1">
      <alignment horizontal="center"/>
    </xf>
    <xf numFmtId="3" fontId="2" fillId="0" borderId="1" xfId="0" applyNumberFormat="1" applyFont="1" applyFill="1" applyBorder="1" applyAlignment="1">
      <alignment horizontal="center"/>
    </xf>
    <xf numFmtId="3" fontId="2" fillId="13" borderId="13" xfId="0" applyNumberFormat="1" applyFont="1" applyFill="1" applyBorder="1" applyAlignment="1">
      <alignment horizontal="center"/>
    </xf>
    <xf numFmtId="3" fontId="21" fillId="13" borderId="13" xfId="0" applyNumberFormat="1" applyFont="1" applyFill="1" applyBorder="1" applyAlignment="1">
      <alignment horizontal="center"/>
    </xf>
    <xf numFmtId="3" fontId="2" fillId="0" borderId="22" xfId="0" applyNumberFormat="1" applyFont="1" applyFill="1" applyBorder="1" applyAlignment="1">
      <alignment horizontal="center"/>
    </xf>
    <xf numFmtId="3" fontId="2" fillId="0" borderId="12" xfId="0" applyNumberFormat="1" applyFont="1" applyFill="1" applyBorder="1" applyAlignment="1">
      <alignment horizontal="center"/>
    </xf>
    <xf numFmtId="0" fontId="2" fillId="4" borderId="2" xfId="0" applyFont="1" applyFill="1" applyBorder="1" applyAlignment="1">
      <alignment horizontal="center"/>
    </xf>
    <xf numFmtId="0" fontId="2" fillId="10" borderId="6" xfId="0" applyFont="1" applyFill="1" applyBorder="1" applyAlignment="1">
      <alignment horizontal="center"/>
    </xf>
    <xf numFmtId="0" fontId="2" fillId="4" borderId="6" xfId="0" applyFont="1" applyFill="1" applyBorder="1" applyAlignment="1">
      <alignment horizontal="center"/>
    </xf>
    <xf numFmtId="3" fontId="2" fillId="10" borderId="5" xfId="0" applyNumberFormat="1" applyFont="1" applyFill="1" applyBorder="1" applyAlignment="1">
      <alignment horizontal="center"/>
    </xf>
    <xf numFmtId="3" fontId="2" fillId="4" borderId="5" xfId="0" applyNumberFormat="1" applyFont="1" applyFill="1" applyBorder="1" applyAlignment="1">
      <alignment horizontal="center"/>
    </xf>
    <xf numFmtId="0" fontId="2" fillId="4" borderId="5" xfId="0" applyFont="1" applyFill="1" applyBorder="1" applyAlignment="1">
      <alignment horizontal="center"/>
    </xf>
    <xf numFmtId="0" fontId="18" fillId="0" borderId="16" xfId="0" applyFont="1" applyFill="1" applyBorder="1" applyAlignment="1">
      <alignment horizontal="center" wrapText="1"/>
    </xf>
    <xf numFmtId="3" fontId="2" fillId="11" borderId="5" xfId="0" applyNumberFormat="1" applyFont="1" applyFill="1" applyBorder="1" applyAlignment="1">
      <alignment horizontal="center"/>
    </xf>
    <xf numFmtId="3" fontId="18" fillId="0" borderId="16" xfId="0" applyNumberFormat="1" applyFont="1" applyFill="1" applyBorder="1" applyAlignment="1">
      <alignment horizontal="center"/>
    </xf>
    <xf numFmtId="3" fontId="2" fillId="4" borderId="5" xfId="0" applyNumberFormat="1" applyFont="1" applyFill="1" applyBorder="1" applyAlignment="1">
      <alignment horizontal="center" wrapText="1"/>
    </xf>
    <xf numFmtId="0" fontId="2" fillId="4" borderId="5" xfId="0" applyFont="1" applyFill="1" applyBorder="1" applyAlignment="1">
      <alignment horizontal="center" wrapText="1"/>
    </xf>
    <xf numFmtId="3" fontId="2" fillId="0" borderId="17" xfId="0" applyNumberFormat="1" applyFont="1" applyFill="1" applyBorder="1" applyAlignment="1">
      <alignment horizontal="center"/>
    </xf>
    <xf numFmtId="0" fontId="2" fillId="11" borderId="5" xfId="0" applyFont="1" applyFill="1" applyBorder="1" applyAlignment="1">
      <alignment horizontal="center"/>
    </xf>
    <xf numFmtId="0" fontId="2" fillId="0" borderId="17" xfId="0" applyFont="1" applyFill="1" applyBorder="1" applyAlignment="1">
      <alignment horizontal="center"/>
    </xf>
    <xf numFmtId="3" fontId="19" fillId="4" borderId="5" xfId="0" applyNumberFormat="1" applyFont="1" applyFill="1" applyBorder="1" applyAlignment="1">
      <alignment horizontal="center"/>
    </xf>
    <xf numFmtId="0" fontId="2" fillId="12" borderId="3" xfId="0" applyFont="1" applyFill="1" applyBorder="1" applyAlignment="1">
      <alignment horizontal="center"/>
    </xf>
    <xf numFmtId="0" fontId="2" fillId="12" borderId="5" xfId="0" applyFont="1" applyFill="1" applyBorder="1" applyAlignment="1">
      <alignment horizontal="center"/>
    </xf>
    <xf numFmtId="0" fontId="2" fillId="12" borderId="17" xfId="0" applyFont="1" applyFill="1" applyBorder="1" applyAlignment="1">
      <alignment horizontal="center"/>
    </xf>
    <xf numFmtId="0" fontId="20" fillId="4" borderId="5" xfId="0" applyFont="1" applyFill="1" applyBorder="1" applyAlignment="1">
      <alignment horizontal="center"/>
    </xf>
    <xf numFmtId="3" fontId="21" fillId="4" borderId="5" xfId="0" applyNumberFormat="1" applyFont="1" applyFill="1" applyBorder="1" applyAlignment="1">
      <alignment horizontal="center"/>
    </xf>
    <xf numFmtId="0" fontId="21" fillId="4" borderId="5" xfId="0" applyFont="1" applyFill="1" applyBorder="1" applyAlignment="1">
      <alignment horizontal="center"/>
    </xf>
    <xf numFmtId="3" fontId="2" fillId="0" borderId="5" xfId="0" applyNumberFormat="1" applyFont="1" applyFill="1" applyBorder="1" applyAlignment="1">
      <alignment horizontal="center" wrapText="1"/>
    </xf>
    <xf numFmtId="0" fontId="2" fillId="0" borderId="5" xfId="0" applyFont="1" applyFill="1" applyBorder="1" applyAlignment="1">
      <alignment horizontal="center" wrapText="1"/>
    </xf>
    <xf numFmtId="0" fontId="22" fillId="0" borderId="5" xfId="0" applyFont="1" applyFill="1" applyBorder="1" applyAlignment="1">
      <alignment horizontal="center" wrapText="1"/>
    </xf>
    <xf numFmtId="0" fontId="22" fillId="4" borderId="5" xfId="0" applyFont="1" applyFill="1" applyBorder="1" applyAlignment="1">
      <alignment horizontal="center" wrapText="1"/>
    </xf>
    <xf numFmtId="3" fontId="2" fillId="0" borderId="5" xfId="0" applyNumberFormat="1" applyFont="1" applyFill="1" applyBorder="1" applyAlignment="1">
      <alignment horizontal="center"/>
    </xf>
    <xf numFmtId="0" fontId="2" fillId="0" borderId="5" xfId="0" applyFont="1" applyFill="1" applyBorder="1" applyAlignment="1">
      <alignment horizontal="center"/>
    </xf>
    <xf numFmtId="3" fontId="2" fillId="0" borderId="16" xfId="0" applyNumberFormat="1" applyFont="1" applyFill="1" applyBorder="1" applyAlignment="1">
      <alignment horizontal="center"/>
    </xf>
    <xf numFmtId="0" fontId="2" fillId="0" borderId="16" xfId="0" applyFont="1" applyFill="1" applyBorder="1" applyAlignment="1">
      <alignment horizontal="center"/>
    </xf>
    <xf numFmtId="0" fontId="1" fillId="8" borderId="0" xfId="1" applyFill="1" applyAlignment="1">
      <alignment horizontal="center" vertical="center"/>
    </xf>
    <xf numFmtId="0" fontId="2" fillId="4" borderId="16" xfId="0" applyFont="1" applyFill="1" applyBorder="1" applyAlignment="1">
      <alignment horizontal="center" wrapText="1"/>
    </xf>
    <xf numFmtId="3" fontId="2" fillId="11" borderId="16" xfId="0" applyNumberFormat="1" applyFont="1" applyFill="1" applyBorder="1" applyAlignment="1">
      <alignment horizontal="center"/>
    </xf>
    <xf numFmtId="0" fontId="2" fillId="11" borderId="16" xfId="0" applyFont="1" applyFill="1" applyBorder="1" applyAlignment="1">
      <alignment horizontal="center"/>
    </xf>
    <xf numFmtId="0" fontId="4" fillId="2" borderId="9" xfId="0" applyFont="1" applyFill="1" applyBorder="1" applyAlignment="1">
      <alignment horizontal="center" vertical="center"/>
    </xf>
    <xf numFmtId="3" fontId="2" fillId="4" borderId="16" xfId="0" applyNumberFormat="1" applyFont="1" applyFill="1" applyBorder="1" applyAlignment="1">
      <alignment horizontal="center"/>
    </xf>
    <xf numFmtId="0" fontId="2" fillId="0" borderId="6" xfId="0" applyFont="1" applyFill="1" applyBorder="1" applyAlignment="1">
      <alignment horizontal="center"/>
    </xf>
    <xf numFmtId="0" fontId="2" fillId="0" borderId="14" xfId="0" applyFont="1" applyFill="1" applyBorder="1" applyAlignment="1">
      <alignment horizontal="center"/>
    </xf>
    <xf numFmtId="3" fontId="2" fillId="0" borderId="6" xfId="0" applyNumberFormat="1" applyFont="1" applyFill="1" applyBorder="1" applyAlignment="1">
      <alignment horizontal="center"/>
    </xf>
    <xf numFmtId="3" fontId="2" fillId="13" borderId="16" xfId="0" applyNumberFormat="1" applyFont="1" applyFill="1" applyBorder="1" applyAlignment="1">
      <alignment horizontal="center"/>
    </xf>
    <xf numFmtId="0" fontId="1" fillId="2" borderId="0" xfId="1" applyFill="1" applyAlignment="1">
      <alignment horizontal="center" vertical="center"/>
    </xf>
    <xf numFmtId="3" fontId="21" fillId="13" borderId="16" xfId="0" applyNumberFormat="1" applyFont="1" applyFill="1" applyBorder="1" applyAlignment="1">
      <alignment horizontal="center"/>
    </xf>
    <xf numFmtId="3" fontId="2" fillId="11" borderId="0" xfId="0" applyNumberFormat="1" applyFont="1" applyFill="1" applyBorder="1" applyAlignment="1">
      <alignment horizontal="center"/>
    </xf>
    <xf numFmtId="3" fontId="2" fillId="11" borderId="6" xfId="0" applyNumberFormat="1" applyFont="1" applyFill="1" applyBorder="1" applyAlignment="1">
      <alignment horizontal="center"/>
    </xf>
    <xf numFmtId="3" fontId="2" fillId="0" borderId="18" xfId="0" applyNumberFormat="1" applyFont="1" applyFill="1" applyBorder="1" applyAlignment="1">
      <alignment horizontal="center"/>
    </xf>
    <xf numFmtId="3" fontId="2" fillId="11" borderId="19" xfId="0" applyNumberFormat="1" applyFont="1" applyFill="1" applyBorder="1" applyAlignment="1">
      <alignment horizontal="center"/>
    </xf>
    <xf numFmtId="3" fontId="2" fillId="0" borderId="20" xfId="0" applyNumberFormat="1" applyFont="1" applyFill="1" applyBorder="1" applyAlignment="1">
      <alignment horizontal="center"/>
    </xf>
    <xf numFmtId="0" fontId="2" fillId="4" borderId="19" xfId="0" applyFont="1" applyFill="1" applyBorder="1" applyAlignment="1">
      <alignment horizontal="center"/>
    </xf>
    <xf numFmtId="0" fontId="2" fillId="11" borderId="6" xfId="0" applyFont="1" applyFill="1" applyBorder="1" applyAlignment="1">
      <alignment horizontal="center"/>
    </xf>
    <xf numFmtId="3" fontId="2" fillId="11" borderId="5" xfId="0" applyNumberFormat="1" applyFont="1" applyFill="1" applyBorder="1" applyAlignment="1">
      <alignment horizontal="center" wrapText="1"/>
    </xf>
    <xf numFmtId="3" fontId="21" fillId="13" borderId="5" xfId="0" applyNumberFormat="1" applyFont="1" applyFill="1" applyBorder="1" applyAlignment="1">
      <alignment horizontal="center"/>
    </xf>
    <xf numFmtId="0" fontId="17" fillId="0" borderId="0" xfId="0" applyFont="1" applyAlignment="1">
      <alignment horizontal="center" vertical="center"/>
    </xf>
    <xf numFmtId="3" fontId="2" fillId="4" borderId="12" xfId="0" applyNumberFormat="1" applyFont="1" applyFill="1" applyBorder="1" applyAlignment="1">
      <alignment horizontal="center"/>
    </xf>
    <xf numFmtId="3" fontId="2" fillId="0" borderId="19" xfId="0" applyNumberFormat="1" applyFont="1" applyFill="1" applyBorder="1" applyAlignment="1">
      <alignment horizontal="center"/>
    </xf>
    <xf numFmtId="0" fontId="2" fillId="4" borderId="17" xfId="0" applyFont="1" applyFill="1" applyBorder="1" applyAlignment="1">
      <alignment horizontal="center"/>
    </xf>
    <xf numFmtId="0" fontId="2" fillId="0" borderId="21" xfId="0" applyFont="1" applyFill="1" applyBorder="1" applyAlignment="1">
      <alignment horizontal="center" wrapText="1"/>
    </xf>
  </cellXfs>
  <cellStyles count="3">
    <cellStyle name="Hyperlink" xfId="1" xr:uid="{00000000-000B-0000-0000-000008000000}"/>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bit.ly/3Pb46oW" TargetMode="External"/><Relationship Id="rId2" Type="http://schemas.openxmlformats.org/officeDocument/2006/relationships/hyperlink" Target="https://nam02.safelinks.protection.outlook.com/?url=https%3A%2F%2Fforms.gle%2FjWjTFSNL4MqSgXGa7&amp;data=05%7C02%7Cancuaranp%40outsourcing.com.co%7C000bea12fea644cc902a08defd447221%7C140443af8e794fceb3edde001312984f%7C0%7C0%7C639226668710200145%7CUnknown%7CTWFpbGZsb3d8eyJFbXB0eU1hcGkiOnRydWUsIlYiOiIwLjAuMDAwMCIsIlAiOiJXaW4zMiIsIkFOIjoiTWFpbCIsIldUIjoyfQ%3D%3D%7C0%7C%7C%7C&amp;sdata=9J6i1skXZ0V3QZs0%2FEKXJPVEPFrl46RYVSeIM40iSLo%3D&amp;reserved=0" TargetMode="External"/><Relationship Id="rId1" Type="http://schemas.openxmlformats.org/officeDocument/2006/relationships/hyperlink" Target="https://nam02.safelinks.protection.outlook.com/?url=https%3A%2F%2Facortar.link%2FdZz2sm&amp;data=05%7C02%7Cancuaranp%40outsourcing.com.co%7Cc875dbca7ecc4de29f9d08deb77f45d8%7C140443af8e794fceb3edde001312984f%7C0%7C0%7C639149954452122106%7CUnknown%7CTWFpbGZsb3d8eyJFbXB0eU1hcGkiOnRydWUsIlYiOiIwLjAuMDAwMCIsIlAiOiJXaW4zMiIsIkFOIjoiTWFpbCIsIldUIjoyfQ%3D%3D%7C0%7C%7C%7C&amp;sdata=l%2FyvPj2Ur8ubtm5xp2suTXQAHHhDiqXq%2F4oL3f3CPMM%3D&amp;reserved=0" TargetMode="External"/><Relationship Id="rId4" Type="http://schemas.openxmlformats.org/officeDocument/2006/relationships/hyperlink" Target="https://bit.ly/3Pb46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4569-FA60-4165-86FA-CBDC1DBFADA4}">
  <dimension ref="A1:B12"/>
  <sheetViews>
    <sheetView workbookViewId="0">
      <selection sqref="A1:B12"/>
    </sheetView>
  </sheetViews>
  <sheetFormatPr defaultColWidth="8.7109375" defaultRowHeight="14.45"/>
  <sheetData>
    <row r="1" spans="1:2">
      <c r="A1" s="1" t="s">
        <v>0</v>
      </c>
      <c r="B1" s="1" t="s">
        <v>1</v>
      </c>
    </row>
    <row r="2" spans="1:2">
      <c r="A2" s="1" t="s">
        <v>2</v>
      </c>
      <c r="B2" s="1" t="s">
        <v>3</v>
      </c>
    </row>
    <row r="3" spans="1:2">
      <c r="A3" s="1"/>
      <c r="B3" s="1" t="s">
        <v>4</v>
      </c>
    </row>
    <row r="4" spans="1:2">
      <c r="A4" s="1"/>
      <c r="B4" s="1" t="s">
        <v>5</v>
      </c>
    </row>
    <row r="5" spans="1:2">
      <c r="A5" s="1"/>
      <c r="B5" s="1" t="s">
        <v>6</v>
      </c>
    </row>
    <row r="6" spans="1:2">
      <c r="A6" s="1"/>
      <c r="B6" s="1" t="s">
        <v>7</v>
      </c>
    </row>
    <row r="7" spans="1:2">
      <c r="A7" s="1"/>
      <c r="B7" s="1" t="s">
        <v>8</v>
      </c>
    </row>
    <row r="8" spans="1:2">
      <c r="A8" s="1"/>
      <c r="B8" s="1" t="s">
        <v>9</v>
      </c>
    </row>
    <row r="9" spans="1:2">
      <c r="A9" s="1"/>
      <c r="B9" s="1" t="s">
        <v>10</v>
      </c>
    </row>
    <row r="10" spans="1:2">
      <c r="A10" s="1"/>
      <c r="B10" s="1" t="s">
        <v>11</v>
      </c>
    </row>
    <row r="11" spans="1:2">
      <c r="A11" s="1"/>
      <c r="B11" s="1" t="s">
        <v>12</v>
      </c>
    </row>
    <row r="12" spans="1:2">
      <c r="A12" s="1"/>
      <c r="B12"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9574-EFEE-4BB7-B70B-1FE7A1239033}">
  <dimension ref="A1"/>
  <sheetViews>
    <sheetView workbookViewId="0">
      <selection activeCell="C11" sqref="C11"/>
    </sheetView>
  </sheetViews>
  <sheetFormatPr defaultColWidth="8.7109375"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AD7A-AF5B-4405-A909-151FC24DD4BC}">
  <dimension ref="A1:AX227"/>
  <sheetViews>
    <sheetView tabSelected="1" topLeftCell="O1" workbookViewId="0">
      <pane ySplit="1" topLeftCell="P2" activePane="bottomLeft" state="frozen"/>
      <selection pane="bottomLeft" activeCell="R2" sqref="R2"/>
    </sheetView>
  </sheetViews>
  <sheetFormatPr defaultColWidth="42.85546875" defaultRowHeight="22.5" customHeight="1"/>
  <cols>
    <col min="1" max="1" width="18.28515625" style="80" customWidth="1"/>
    <col min="2" max="2" width="36.5703125" style="80" customWidth="1"/>
    <col min="3" max="3" width="67.140625" style="80" customWidth="1"/>
    <col min="4" max="14" width="36.5703125" style="80" customWidth="1"/>
    <col min="15" max="15" width="22" style="80" customWidth="1"/>
    <col min="16" max="16" width="19.140625" style="80" customWidth="1"/>
    <col min="17" max="17" width="17.28515625" style="93" customWidth="1"/>
    <col min="18" max="18" width="15" style="93" customWidth="1"/>
    <col min="19" max="19" width="15.85546875" style="93" customWidth="1"/>
    <col min="20" max="20" width="22.140625" style="93" customWidth="1"/>
    <col min="21" max="21" width="15.42578125" style="93" customWidth="1"/>
    <col min="22" max="22" width="25" style="93" customWidth="1"/>
    <col min="23" max="23" width="21.85546875" style="93" customWidth="1"/>
    <col min="24" max="30" width="42.85546875" style="2"/>
    <col min="31" max="16384" width="42.85546875" style="15"/>
  </cols>
  <sheetData>
    <row r="1" spans="1:30" ht="22.5" customHeight="1">
      <c r="A1" s="8" t="s">
        <v>14</v>
      </c>
      <c r="B1" s="8" t="s">
        <v>15</v>
      </c>
      <c r="C1" s="8" t="s">
        <v>16</v>
      </c>
      <c r="D1" s="8" t="s">
        <v>17</v>
      </c>
      <c r="E1" s="8" t="s">
        <v>18</v>
      </c>
      <c r="F1" s="9" t="s">
        <v>19</v>
      </c>
      <c r="G1" s="8" t="s">
        <v>20</v>
      </c>
      <c r="H1" s="8" t="s">
        <v>21</v>
      </c>
      <c r="I1" s="8" t="s">
        <v>22</v>
      </c>
      <c r="J1" s="8" t="s">
        <v>23</v>
      </c>
      <c r="K1" s="8" t="s">
        <v>24</v>
      </c>
      <c r="L1" s="8" t="s">
        <v>25</v>
      </c>
      <c r="M1" s="8" t="s">
        <v>26</v>
      </c>
      <c r="N1" s="8" t="s">
        <v>27</v>
      </c>
      <c r="O1" s="8" t="s">
        <v>28</v>
      </c>
      <c r="P1" s="10" t="s">
        <v>29</v>
      </c>
      <c r="Q1" s="10" t="s">
        <v>30</v>
      </c>
      <c r="R1" s="10" t="s">
        <v>31</v>
      </c>
      <c r="S1" s="10" t="s">
        <v>32</v>
      </c>
      <c r="T1" s="11" t="s">
        <v>33</v>
      </c>
      <c r="U1" s="11" t="s">
        <v>34</v>
      </c>
      <c r="V1" s="11" t="s">
        <v>35</v>
      </c>
      <c r="W1" s="12" t="s">
        <v>36</v>
      </c>
      <c r="X1" s="13"/>
      <c r="Y1" s="13"/>
      <c r="Z1" s="14"/>
      <c r="AA1" s="14"/>
      <c r="AB1" s="14"/>
      <c r="AC1" s="14"/>
      <c r="AD1" s="14"/>
    </row>
    <row r="2" spans="1:30" ht="22.5" customHeight="1">
      <c r="A2" s="16">
        <v>1</v>
      </c>
      <c r="B2" s="17" t="s">
        <v>37</v>
      </c>
      <c r="C2" s="16" t="s">
        <v>38</v>
      </c>
      <c r="D2" s="18">
        <v>45915</v>
      </c>
      <c r="E2" s="16" t="s">
        <v>10</v>
      </c>
      <c r="F2" s="19">
        <v>45917</v>
      </c>
      <c r="G2" s="18">
        <v>45917</v>
      </c>
      <c r="H2" s="17" t="s">
        <v>39</v>
      </c>
      <c r="I2" s="16" t="s">
        <v>0</v>
      </c>
      <c r="J2" s="20">
        <v>45918</v>
      </c>
      <c r="K2" s="16" t="s">
        <v>10</v>
      </c>
      <c r="L2" s="17" t="s">
        <v>40</v>
      </c>
      <c r="M2" s="177">
        <v>1002</v>
      </c>
      <c r="N2" s="178">
        <v>999</v>
      </c>
      <c r="O2" s="179">
        <v>921</v>
      </c>
      <c r="P2" s="179">
        <v>0</v>
      </c>
      <c r="Q2" s="179">
        <v>78</v>
      </c>
      <c r="R2" s="179">
        <v>0</v>
      </c>
      <c r="S2" s="148">
        <v>3684</v>
      </c>
      <c r="T2" s="21">
        <v>0.92192192192192191</v>
      </c>
      <c r="U2" s="22">
        <f>S2*4.29</f>
        <v>15804.36</v>
      </c>
      <c r="V2" s="20">
        <v>45930</v>
      </c>
      <c r="W2" s="23" t="s">
        <v>41</v>
      </c>
      <c r="X2" s="24"/>
      <c r="Y2" s="25"/>
      <c r="Z2" s="26"/>
      <c r="AA2" s="27"/>
      <c r="AB2" s="116"/>
      <c r="AC2" s="117"/>
      <c r="AD2" s="118"/>
    </row>
    <row r="3" spans="1:30" ht="22.5" customHeight="1">
      <c r="A3" s="16">
        <v>2</v>
      </c>
      <c r="B3" s="16" t="s">
        <v>42</v>
      </c>
      <c r="C3" s="16" t="s">
        <v>43</v>
      </c>
      <c r="D3" s="18">
        <v>45909</v>
      </c>
      <c r="E3" s="16" t="s">
        <v>10</v>
      </c>
      <c r="F3" s="19">
        <v>45909</v>
      </c>
      <c r="G3" s="18">
        <v>45909</v>
      </c>
      <c r="H3" s="17" t="s">
        <v>44</v>
      </c>
      <c r="I3" s="16" t="s">
        <v>0</v>
      </c>
      <c r="J3" s="20">
        <v>45911</v>
      </c>
      <c r="K3" s="16" t="s">
        <v>10</v>
      </c>
      <c r="L3" s="17"/>
      <c r="M3" s="149">
        <v>3059</v>
      </c>
      <c r="N3" s="180">
        <v>3059</v>
      </c>
      <c r="O3" s="181">
        <v>2081</v>
      </c>
      <c r="P3" s="182">
        <v>0</v>
      </c>
      <c r="Q3" s="182">
        <v>978</v>
      </c>
      <c r="R3" s="183">
        <v>0</v>
      </c>
      <c r="S3" s="149">
        <v>2081</v>
      </c>
      <c r="T3" s="17" t="s">
        <v>45</v>
      </c>
      <c r="U3" s="22">
        <f t="shared" ref="U3:U31" si="0">S3*4.29</f>
        <v>8927.49</v>
      </c>
      <c r="V3" s="20">
        <v>45946</v>
      </c>
      <c r="W3" s="23" t="s">
        <v>41</v>
      </c>
      <c r="X3" s="25"/>
      <c r="Y3" s="25"/>
      <c r="Z3" s="26"/>
      <c r="AA3" s="27"/>
      <c r="AB3" s="116"/>
      <c r="AC3" s="117"/>
      <c r="AD3" s="118"/>
    </row>
    <row r="4" spans="1:30" ht="22.5" customHeight="1">
      <c r="A4" s="16">
        <v>3</v>
      </c>
      <c r="B4" s="17" t="s">
        <v>42</v>
      </c>
      <c r="C4" s="16" t="s">
        <v>46</v>
      </c>
      <c r="D4" s="18">
        <v>45916</v>
      </c>
      <c r="E4" s="16" t="s">
        <v>10</v>
      </c>
      <c r="F4" s="28">
        <v>45918</v>
      </c>
      <c r="G4" s="20">
        <v>45918</v>
      </c>
      <c r="H4" s="17" t="s">
        <v>47</v>
      </c>
      <c r="I4" s="16" t="s">
        <v>0</v>
      </c>
      <c r="J4" s="20">
        <v>45919</v>
      </c>
      <c r="K4" s="16" t="s">
        <v>10</v>
      </c>
      <c r="L4" s="17" t="s">
        <v>48</v>
      </c>
      <c r="M4" s="149">
        <v>3425</v>
      </c>
      <c r="N4" s="180">
        <v>3425</v>
      </c>
      <c r="O4" s="181">
        <v>3367</v>
      </c>
      <c r="P4" s="182">
        <v>0</v>
      </c>
      <c r="Q4" s="182">
        <v>0</v>
      </c>
      <c r="R4" s="182">
        <v>58</v>
      </c>
      <c r="S4" s="150">
        <v>3367</v>
      </c>
      <c r="T4" s="17" t="s">
        <v>49</v>
      </c>
      <c r="U4" s="22">
        <f t="shared" si="0"/>
        <v>14444.43</v>
      </c>
      <c r="V4" s="20">
        <v>45931</v>
      </c>
      <c r="W4" s="23" t="s">
        <v>41</v>
      </c>
      <c r="X4" s="24"/>
      <c r="Y4" s="25"/>
      <c r="Z4" s="26"/>
      <c r="AA4" s="27"/>
      <c r="AB4" s="116"/>
      <c r="AC4" s="117"/>
      <c r="AD4" s="118"/>
    </row>
    <row r="5" spans="1:30" ht="22.5" customHeight="1">
      <c r="A5" s="16">
        <v>3</v>
      </c>
      <c r="B5" s="17" t="s">
        <v>42</v>
      </c>
      <c r="C5" s="16" t="s">
        <v>46</v>
      </c>
      <c r="D5" s="18">
        <v>45916</v>
      </c>
      <c r="E5" s="16" t="s">
        <v>10</v>
      </c>
      <c r="F5" s="28">
        <v>45918</v>
      </c>
      <c r="G5" s="20">
        <v>45918</v>
      </c>
      <c r="H5" s="17" t="s">
        <v>50</v>
      </c>
      <c r="I5" s="16" t="s">
        <v>2</v>
      </c>
      <c r="J5" s="20">
        <v>45919</v>
      </c>
      <c r="K5" s="16" t="s">
        <v>10</v>
      </c>
      <c r="L5" s="17" t="s">
        <v>51</v>
      </c>
      <c r="M5" s="149">
        <v>3290</v>
      </c>
      <c r="N5" s="180">
        <v>3385</v>
      </c>
      <c r="O5" s="181">
        <v>3347</v>
      </c>
      <c r="P5" s="182">
        <v>6</v>
      </c>
      <c r="Q5" s="182">
        <v>26</v>
      </c>
      <c r="R5" s="182">
        <v>6</v>
      </c>
      <c r="S5" s="149">
        <v>3188</v>
      </c>
      <c r="T5" s="29">
        <v>0.96899999999999997</v>
      </c>
      <c r="U5" s="22">
        <f>S5*1.61</f>
        <v>5132.68</v>
      </c>
      <c r="V5" s="20">
        <v>45931</v>
      </c>
      <c r="W5" s="23"/>
      <c r="X5" s="24"/>
      <c r="Y5" s="25"/>
      <c r="Z5" s="26"/>
      <c r="AA5" s="27"/>
      <c r="AB5" s="116"/>
      <c r="AC5" s="117"/>
      <c r="AD5" s="118"/>
    </row>
    <row r="6" spans="1:30" ht="22.5" customHeight="1">
      <c r="A6" s="16">
        <v>4</v>
      </c>
      <c r="B6" s="17" t="s">
        <v>52</v>
      </c>
      <c r="C6" s="16" t="s">
        <v>53</v>
      </c>
      <c r="D6" s="119">
        <v>45912</v>
      </c>
      <c r="E6" s="16" t="s">
        <v>10</v>
      </c>
      <c r="F6" s="120">
        <v>45916</v>
      </c>
      <c r="G6" s="119">
        <v>45916</v>
      </c>
      <c r="H6" s="17" t="s">
        <v>54</v>
      </c>
      <c r="I6" s="16" t="s">
        <v>2</v>
      </c>
      <c r="J6" s="20">
        <v>45919</v>
      </c>
      <c r="K6" s="16" t="s">
        <v>10</v>
      </c>
      <c r="L6" s="17" t="s">
        <v>55</v>
      </c>
      <c r="M6" s="149">
        <v>21628</v>
      </c>
      <c r="N6" s="180">
        <v>21628</v>
      </c>
      <c r="O6" s="181">
        <v>18526</v>
      </c>
      <c r="P6" s="182">
        <v>44</v>
      </c>
      <c r="Q6" s="182">
        <v>551</v>
      </c>
      <c r="R6" s="181">
        <v>2507</v>
      </c>
      <c r="S6" s="149">
        <v>18526</v>
      </c>
      <c r="T6" s="16" t="s">
        <v>56</v>
      </c>
      <c r="U6" s="22">
        <f>S6*1.61</f>
        <v>29826.86</v>
      </c>
      <c r="V6" s="20">
        <v>45937</v>
      </c>
      <c r="W6" s="23"/>
      <c r="X6" s="24"/>
      <c r="Y6" s="25"/>
      <c r="Z6" s="26"/>
      <c r="AA6" s="27"/>
      <c r="AB6" s="116"/>
      <c r="AC6" s="117"/>
      <c r="AD6" s="118"/>
    </row>
    <row r="7" spans="1:30" ht="22.5" customHeight="1">
      <c r="A7" s="16">
        <v>4</v>
      </c>
      <c r="B7" s="17" t="s">
        <v>52</v>
      </c>
      <c r="C7" s="16" t="s">
        <v>53</v>
      </c>
      <c r="D7" s="119">
        <v>45912</v>
      </c>
      <c r="E7" s="16" t="s">
        <v>10</v>
      </c>
      <c r="F7" s="120">
        <v>45916</v>
      </c>
      <c r="G7" s="119">
        <v>45918</v>
      </c>
      <c r="H7" s="17" t="s">
        <v>54</v>
      </c>
      <c r="I7" s="16" t="s">
        <v>2</v>
      </c>
      <c r="J7" s="20">
        <v>45919</v>
      </c>
      <c r="K7" s="16" t="s">
        <v>10</v>
      </c>
      <c r="L7" s="17" t="s">
        <v>55</v>
      </c>
      <c r="M7" s="149">
        <v>21628</v>
      </c>
      <c r="N7" s="184">
        <v>21628</v>
      </c>
      <c r="O7" s="185">
        <v>18466</v>
      </c>
      <c r="P7" s="182">
        <v>12</v>
      </c>
      <c r="Q7" s="182">
        <v>592</v>
      </c>
      <c r="R7" s="185">
        <v>2558</v>
      </c>
      <c r="S7" s="149">
        <v>18466</v>
      </c>
      <c r="T7" s="16" t="s">
        <v>57</v>
      </c>
      <c r="U7" s="22">
        <f>S7*1.61</f>
        <v>29730.260000000002</v>
      </c>
      <c r="V7" s="20">
        <v>45937</v>
      </c>
      <c r="W7" s="23"/>
      <c r="X7" s="24"/>
      <c r="Y7" s="25"/>
      <c r="Z7" s="26"/>
      <c r="AA7" s="27"/>
      <c r="AB7" s="116"/>
      <c r="AC7" s="117"/>
      <c r="AD7" s="118"/>
    </row>
    <row r="8" spans="1:30" ht="22.5" customHeight="1">
      <c r="A8" s="16">
        <v>5</v>
      </c>
      <c r="B8" s="17" t="s">
        <v>52</v>
      </c>
      <c r="C8" s="16" t="s">
        <v>58</v>
      </c>
      <c r="D8" s="119">
        <v>45917</v>
      </c>
      <c r="E8" s="16" t="s">
        <v>10</v>
      </c>
      <c r="F8" s="28">
        <v>45918</v>
      </c>
      <c r="G8" s="119">
        <v>45919</v>
      </c>
      <c r="H8" s="17" t="s">
        <v>59</v>
      </c>
      <c r="I8" s="16" t="s">
        <v>2</v>
      </c>
      <c r="J8" s="20">
        <v>45930</v>
      </c>
      <c r="K8" s="16" t="s">
        <v>10</v>
      </c>
      <c r="L8" s="17" t="s">
        <v>60</v>
      </c>
      <c r="M8" s="149">
        <v>21625</v>
      </c>
      <c r="N8" s="184">
        <v>21625</v>
      </c>
      <c r="O8" s="186">
        <v>18508</v>
      </c>
      <c r="P8" s="187">
        <v>3</v>
      </c>
      <c r="Q8" s="186">
        <v>1726</v>
      </c>
      <c r="R8" s="188">
        <v>1388</v>
      </c>
      <c r="S8" s="151">
        <v>18508</v>
      </c>
      <c r="T8" s="30">
        <v>0.85589999999999999</v>
      </c>
      <c r="U8" s="22">
        <f t="shared" ref="U8:U11" si="1">S8*1.61</f>
        <v>29797.88</v>
      </c>
      <c r="V8" s="20">
        <v>45938</v>
      </c>
      <c r="W8" s="23"/>
      <c r="X8" s="24"/>
      <c r="Y8" s="25"/>
      <c r="Z8" s="26"/>
      <c r="AA8" s="27"/>
      <c r="AB8" s="116"/>
      <c r="AC8" s="117"/>
      <c r="AD8" s="118"/>
    </row>
    <row r="9" spans="1:30" ht="22.5" customHeight="1">
      <c r="A9" s="16">
        <v>5</v>
      </c>
      <c r="B9" s="17" t="s">
        <v>52</v>
      </c>
      <c r="C9" s="16" t="s">
        <v>58</v>
      </c>
      <c r="D9" s="119">
        <v>45917</v>
      </c>
      <c r="E9" s="16" t="s">
        <v>10</v>
      </c>
      <c r="F9" s="28">
        <v>45918</v>
      </c>
      <c r="G9" s="119">
        <v>45923</v>
      </c>
      <c r="H9" s="17" t="s">
        <v>59</v>
      </c>
      <c r="I9" s="16" t="s">
        <v>2</v>
      </c>
      <c r="J9" s="20">
        <v>45930</v>
      </c>
      <c r="K9" s="16" t="s">
        <v>10</v>
      </c>
      <c r="L9" s="17" t="s">
        <v>60</v>
      </c>
      <c r="M9" s="149">
        <v>21625</v>
      </c>
      <c r="N9" s="184">
        <v>21625</v>
      </c>
      <c r="O9" s="186">
        <v>18406</v>
      </c>
      <c r="P9" s="187">
        <v>20</v>
      </c>
      <c r="Q9" s="186">
        <v>1731</v>
      </c>
      <c r="R9" s="188">
        <v>1468</v>
      </c>
      <c r="S9" s="151">
        <v>18406</v>
      </c>
      <c r="T9" s="31">
        <v>0.85140000000000005</v>
      </c>
      <c r="U9" s="22">
        <f t="shared" si="1"/>
        <v>29633.660000000003</v>
      </c>
      <c r="V9" s="20">
        <v>45938</v>
      </c>
      <c r="W9" s="23"/>
      <c r="X9" s="24"/>
      <c r="Y9" s="25"/>
      <c r="Z9" s="26"/>
      <c r="AA9" s="27"/>
      <c r="AB9" s="116"/>
      <c r="AC9" s="117"/>
      <c r="AD9" s="118"/>
    </row>
    <row r="10" spans="1:30" ht="22.5" customHeight="1">
      <c r="A10" s="16">
        <v>5</v>
      </c>
      <c r="B10" s="17" t="s">
        <v>52</v>
      </c>
      <c r="C10" s="16" t="s">
        <v>58</v>
      </c>
      <c r="D10" s="119">
        <v>45917</v>
      </c>
      <c r="E10" s="16" t="s">
        <v>10</v>
      </c>
      <c r="F10" s="28">
        <v>45918</v>
      </c>
      <c r="G10" s="119">
        <v>45925</v>
      </c>
      <c r="H10" s="17" t="s">
        <v>59</v>
      </c>
      <c r="I10" s="16" t="s">
        <v>2</v>
      </c>
      <c r="J10" s="20">
        <v>45930</v>
      </c>
      <c r="K10" s="16" t="s">
        <v>10</v>
      </c>
      <c r="L10" s="17" t="s">
        <v>60</v>
      </c>
      <c r="M10" s="149">
        <v>21625</v>
      </c>
      <c r="N10" s="184">
        <v>21625</v>
      </c>
      <c r="O10" s="186">
        <v>18393</v>
      </c>
      <c r="P10" s="187">
        <v>38</v>
      </c>
      <c r="Q10" s="186">
        <v>1719</v>
      </c>
      <c r="R10" s="188">
        <v>1475</v>
      </c>
      <c r="S10" s="151">
        <v>18393</v>
      </c>
      <c r="T10" s="31">
        <v>0.85089999999999999</v>
      </c>
      <c r="U10" s="22">
        <f t="shared" si="1"/>
        <v>29612.730000000003</v>
      </c>
      <c r="V10" s="20">
        <v>45938</v>
      </c>
      <c r="W10" s="23"/>
      <c r="X10" s="24"/>
      <c r="Y10" s="25"/>
      <c r="Z10" s="26"/>
      <c r="AA10" s="27"/>
      <c r="AB10" s="116"/>
      <c r="AC10" s="117"/>
      <c r="AD10" s="118"/>
    </row>
    <row r="11" spans="1:30" ht="22.5" customHeight="1">
      <c r="A11" s="16">
        <v>5</v>
      </c>
      <c r="B11" s="17" t="s">
        <v>52</v>
      </c>
      <c r="C11" s="16" t="s">
        <v>58</v>
      </c>
      <c r="D11" s="119">
        <v>45917</v>
      </c>
      <c r="E11" s="16" t="s">
        <v>10</v>
      </c>
      <c r="F11" s="28">
        <v>45918</v>
      </c>
      <c r="G11" s="119">
        <v>45929</v>
      </c>
      <c r="H11" s="17" t="s">
        <v>59</v>
      </c>
      <c r="I11" s="16" t="s">
        <v>2</v>
      </c>
      <c r="J11" s="20">
        <v>45930</v>
      </c>
      <c r="K11" s="16" t="s">
        <v>10</v>
      </c>
      <c r="L11" s="17" t="s">
        <v>60</v>
      </c>
      <c r="M11" s="149">
        <v>21625</v>
      </c>
      <c r="N11" s="184">
        <v>21625</v>
      </c>
      <c r="O11" s="187">
        <v>18358</v>
      </c>
      <c r="P11" s="187">
        <v>57</v>
      </c>
      <c r="Q11" s="187">
        <v>1753</v>
      </c>
      <c r="R11" s="188">
        <v>1457</v>
      </c>
      <c r="S11" s="152">
        <v>18358</v>
      </c>
      <c r="T11" s="17" t="s">
        <v>61</v>
      </c>
      <c r="U11" s="22">
        <f t="shared" si="1"/>
        <v>29556.38</v>
      </c>
      <c r="V11" s="20">
        <v>45938</v>
      </c>
      <c r="W11" s="23"/>
      <c r="X11" s="24"/>
      <c r="Y11" s="25"/>
      <c r="Z11" s="26"/>
      <c r="AA11" s="27"/>
      <c r="AB11" s="116"/>
      <c r="AC11" s="117"/>
      <c r="AD11" s="118"/>
    </row>
    <row r="12" spans="1:30" ht="30.75" customHeight="1">
      <c r="A12" s="16">
        <v>6</v>
      </c>
      <c r="B12" s="17" t="s">
        <v>62</v>
      </c>
      <c r="C12" s="16" t="s">
        <v>63</v>
      </c>
      <c r="D12" s="18">
        <v>45923</v>
      </c>
      <c r="E12" s="16" t="s">
        <v>10</v>
      </c>
      <c r="F12" s="28">
        <v>45922</v>
      </c>
      <c r="G12" s="20">
        <v>45922</v>
      </c>
      <c r="H12" s="17" t="s">
        <v>64</v>
      </c>
      <c r="I12" s="16" t="s">
        <v>0</v>
      </c>
      <c r="J12" s="20">
        <v>45923</v>
      </c>
      <c r="K12" s="16" t="s">
        <v>10</v>
      </c>
      <c r="L12" s="17" t="s">
        <v>65</v>
      </c>
      <c r="M12" s="154">
        <v>999</v>
      </c>
      <c r="N12" s="189">
        <v>999</v>
      </c>
      <c r="O12" s="182">
        <v>908</v>
      </c>
      <c r="P12" s="182">
        <v>0</v>
      </c>
      <c r="Q12" s="182">
        <v>78</v>
      </c>
      <c r="R12" s="190">
        <v>13</v>
      </c>
      <c r="S12" s="149">
        <v>3632</v>
      </c>
      <c r="T12" s="29">
        <v>0.90890000000000004</v>
      </c>
      <c r="U12" s="22">
        <f t="shared" si="0"/>
        <v>15581.28</v>
      </c>
      <c r="V12" s="20">
        <v>45932</v>
      </c>
      <c r="W12" s="23" t="s">
        <v>41</v>
      </c>
      <c r="X12" s="24"/>
      <c r="Y12" s="25"/>
      <c r="Z12" s="26"/>
      <c r="AA12" s="121"/>
      <c r="AB12" s="116"/>
      <c r="AC12" s="117"/>
      <c r="AD12" s="118"/>
    </row>
    <row r="13" spans="1:30" ht="22.5" customHeight="1">
      <c r="A13" s="16">
        <v>7</v>
      </c>
      <c r="B13" s="17" t="s">
        <v>52</v>
      </c>
      <c r="C13" s="16" t="s">
        <v>66</v>
      </c>
      <c r="D13" s="18">
        <v>45917</v>
      </c>
      <c r="E13" s="16" t="s">
        <v>10</v>
      </c>
      <c r="F13" s="19">
        <v>45557</v>
      </c>
      <c r="G13" s="18">
        <v>45557</v>
      </c>
      <c r="H13" s="17" t="s">
        <v>67</v>
      </c>
      <c r="I13" s="16" t="s">
        <v>0</v>
      </c>
      <c r="J13" s="20">
        <v>45930</v>
      </c>
      <c r="K13" s="16" t="s">
        <v>10</v>
      </c>
      <c r="L13" s="17" t="s">
        <v>68</v>
      </c>
      <c r="M13" s="149">
        <v>13299</v>
      </c>
      <c r="N13" s="184">
        <v>13299</v>
      </c>
      <c r="O13" s="191">
        <v>12825</v>
      </c>
      <c r="P13" s="182">
        <v>0</v>
      </c>
      <c r="Q13" s="182">
        <v>0</v>
      </c>
      <c r="R13" s="190">
        <v>474</v>
      </c>
      <c r="S13" s="149">
        <v>51324</v>
      </c>
      <c r="T13" s="16" t="s">
        <v>69</v>
      </c>
      <c r="U13" s="22">
        <f t="shared" si="0"/>
        <v>220179.96</v>
      </c>
      <c r="V13" s="20">
        <v>45936</v>
      </c>
      <c r="W13" s="23" t="s">
        <v>41</v>
      </c>
      <c r="X13" s="25"/>
      <c r="Y13" s="25"/>
      <c r="Z13" s="26"/>
      <c r="AA13" s="121"/>
      <c r="AB13" s="116"/>
      <c r="AC13" s="117"/>
      <c r="AD13" s="118"/>
    </row>
    <row r="14" spans="1:30" ht="22.5" customHeight="1">
      <c r="A14" s="16">
        <v>7</v>
      </c>
      <c r="B14" s="17" t="s">
        <v>52</v>
      </c>
      <c r="C14" s="16" t="s">
        <v>66</v>
      </c>
      <c r="D14" s="18">
        <v>45917</v>
      </c>
      <c r="E14" s="16" t="s">
        <v>10</v>
      </c>
      <c r="F14" s="19">
        <v>45924</v>
      </c>
      <c r="G14" s="18">
        <v>45924</v>
      </c>
      <c r="H14" s="17" t="s">
        <v>67</v>
      </c>
      <c r="I14" s="16" t="s">
        <v>0</v>
      </c>
      <c r="J14" s="20">
        <v>45930</v>
      </c>
      <c r="K14" s="16" t="s">
        <v>10</v>
      </c>
      <c r="L14" s="17" t="s">
        <v>68</v>
      </c>
      <c r="M14" s="149">
        <v>13299</v>
      </c>
      <c r="N14" s="184">
        <v>13299</v>
      </c>
      <c r="O14" s="191">
        <v>12831</v>
      </c>
      <c r="P14" s="182">
        <v>0</v>
      </c>
      <c r="Q14" s="182">
        <v>0</v>
      </c>
      <c r="R14" s="190">
        <v>468</v>
      </c>
      <c r="S14" s="149">
        <v>51312</v>
      </c>
      <c r="T14" s="16" t="s">
        <v>70</v>
      </c>
      <c r="U14" s="22">
        <f t="shared" si="0"/>
        <v>220128.48</v>
      </c>
      <c r="V14" s="20">
        <v>45936</v>
      </c>
      <c r="W14" s="23" t="s">
        <v>41</v>
      </c>
      <c r="X14" s="25"/>
      <c r="Y14" s="25"/>
      <c r="Z14" s="26"/>
      <c r="AA14" s="121"/>
      <c r="AB14" s="116"/>
      <c r="AC14" s="117"/>
      <c r="AD14" s="118"/>
    </row>
    <row r="15" spans="1:30" ht="22.5" customHeight="1">
      <c r="A15" s="16">
        <v>7</v>
      </c>
      <c r="B15" s="17" t="s">
        <v>52</v>
      </c>
      <c r="C15" s="16" t="s">
        <v>66</v>
      </c>
      <c r="D15" s="18">
        <v>45917</v>
      </c>
      <c r="E15" s="16" t="s">
        <v>10</v>
      </c>
      <c r="F15" s="19">
        <v>45926</v>
      </c>
      <c r="G15" s="18">
        <v>45926</v>
      </c>
      <c r="H15" s="17" t="s">
        <v>67</v>
      </c>
      <c r="I15" s="16" t="s">
        <v>0</v>
      </c>
      <c r="J15" s="20">
        <v>45930</v>
      </c>
      <c r="K15" s="16" t="s">
        <v>10</v>
      </c>
      <c r="L15" s="17" t="s">
        <v>68</v>
      </c>
      <c r="M15" s="149">
        <v>13299</v>
      </c>
      <c r="N15" s="184">
        <v>13299</v>
      </c>
      <c r="O15" s="191">
        <v>12828</v>
      </c>
      <c r="P15" s="182">
        <v>0</v>
      </c>
      <c r="Q15" s="182">
        <v>0</v>
      </c>
      <c r="R15" s="190">
        <v>471</v>
      </c>
      <c r="S15" s="149">
        <v>51300</v>
      </c>
      <c r="T15" s="16" t="s">
        <v>71</v>
      </c>
      <c r="U15" s="22">
        <f t="shared" si="0"/>
        <v>220077</v>
      </c>
      <c r="V15" s="20">
        <v>45936</v>
      </c>
      <c r="W15" s="23" t="s">
        <v>41</v>
      </c>
      <c r="X15" s="25"/>
      <c r="Y15" s="25"/>
      <c r="Z15" s="26"/>
      <c r="AA15" s="121"/>
      <c r="AB15" s="116"/>
      <c r="AC15" s="117"/>
      <c r="AD15" s="118"/>
    </row>
    <row r="16" spans="1:30" ht="22.5" customHeight="1">
      <c r="A16" s="16">
        <v>8</v>
      </c>
      <c r="B16" s="17" t="s">
        <v>62</v>
      </c>
      <c r="C16" s="16" t="s">
        <v>63</v>
      </c>
      <c r="D16" s="18">
        <v>45925</v>
      </c>
      <c r="E16" s="16" t="s">
        <v>10</v>
      </c>
      <c r="F16" s="28">
        <v>45925</v>
      </c>
      <c r="G16" s="20">
        <v>45925</v>
      </c>
      <c r="H16" s="17" t="s">
        <v>72</v>
      </c>
      <c r="I16" s="16" t="s">
        <v>0</v>
      </c>
      <c r="J16" s="20">
        <v>45926</v>
      </c>
      <c r="K16" s="16" t="s">
        <v>10</v>
      </c>
      <c r="L16" s="17" t="s">
        <v>73</v>
      </c>
      <c r="M16" s="154">
        <v>999</v>
      </c>
      <c r="N16" s="189">
        <v>999</v>
      </c>
      <c r="O16" s="182">
        <v>908</v>
      </c>
      <c r="P16" s="182">
        <v>0</v>
      </c>
      <c r="Q16" s="182">
        <v>13</v>
      </c>
      <c r="R16" s="190">
        <v>78</v>
      </c>
      <c r="S16" s="149">
        <v>3916</v>
      </c>
      <c r="T16" s="16" t="s">
        <v>74</v>
      </c>
      <c r="U16" s="22">
        <f t="shared" si="0"/>
        <v>16799.64</v>
      </c>
      <c r="V16" s="20">
        <v>45932</v>
      </c>
      <c r="W16" s="23" t="s">
        <v>41</v>
      </c>
      <c r="X16" s="24"/>
      <c r="Y16" s="25"/>
      <c r="Z16" s="26"/>
      <c r="AA16" s="122"/>
      <c r="AB16" s="116"/>
      <c r="AC16" s="117"/>
      <c r="AD16" s="118"/>
    </row>
    <row r="17" spans="1:30" ht="22.5" customHeight="1">
      <c r="A17" s="16">
        <v>9</v>
      </c>
      <c r="B17" s="17" t="s">
        <v>62</v>
      </c>
      <c r="C17" s="16" t="s">
        <v>75</v>
      </c>
      <c r="D17" s="18">
        <v>45925</v>
      </c>
      <c r="E17" s="16" t="s">
        <v>10</v>
      </c>
      <c r="F17" s="28">
        <v>45923</v>
      </c>
      <c r="G17" s="20">
        <v>45923</v>
      </c>
      <c r="H17" s="17" t="s">
        <v>76</v>
      </c>
      <c r="I17" s="16" t="s">
        <v>0</v>
      </c>
      <c r="J17" s="20">
        <v>45924</v>
      </c>
      <c r="K17" s="16" t="s">
        <v>10</v>
      </c>
      <c r="L17" s="17" t="s">
        <v>77</v>
      </c>
      <c r="M17" s="154">
        <v>999</v>
      </c>
      <c r="N17" s="189">
        <v>999</v>
      </c>
      <c r="O17" s="182">
        <v>969</v>
      </c>
      <c r="P17" s="182">
        <v>0</v>
      </c>
      <c r="Q17" s="182">
        <v>0</v>
      </c>
      <c r="R17" s="190">
        <v>30</v>
      </c>
      <c r="S17" s="149">
        <v>3876</v>
      </c>
      <c r="T17" s="16" t="s">
        <v>78</v>
      </c>
      <c r="U17" s="22">
        <f t="shared" si="0"/>
        <v>16628.04</v>
      </c>
      <c r="V17" s="20">
        <v>45932</v>
      </c>
      <c r="W17" s="23" t="s">
        <v>41</v>
      </c>
      <c r="X17" s="24"/>
      <c r="Y17" s="25"/>
      <c r="Z17" s="26"/>
      <c r="AA17" s="122"/>
      <c r="AB17" s="116"/>
      <c r="AC17" s="117"/>
      <c r="AD17" s="118"/>
    </row>
    <row r="18" spans="1:30" ht="22.5" customHeight="1">
      <c r="A18" s="16">
        <v>10</v>
      </c>
      <c r="B18" s="17" t="s">
        <v>62</v>
      </c>
      <c r="C18" s="16" t="s">
        <v>79</v>
      </c>
      <c r="D18" s="18">
        <v>45916</v>
      </c>
      <c r="E18" s="16" t="s">
        <v>10</v>
      </c>
      <c r="F18" s="19">
        <v>45918</v>
      </c>
      <c r="G18" s="18">
        <v>45918</v>
      </c>
      <c r="H18" s="17" t="s">
        <v>80</v>
      </c>
      <c r="I18" s="16" t="s">
        <v>0</v>
      </c>
      <c r="J18" s="20">
        <v>45919</v>
      </c>
      <c r="K18" s="16" t="s">
        <v>10</v>
      </c>
      <c r="L18" s="17" t="s">
        <v>81</v>
      </c>
      <c r="M18" s="154">
        <v>745</v>
      </c>
      <c r="N18" s="189">
        <v>745</v>
      </c>
      <c r="O18" s="182">
        <v>735</v>
      </c>
      <c r="P18" s="182">
        <v>0</v>
      </c>
      <c r="Q18" s="182">
        <v>0</v>
      </c>
      <c r="R18" s="190">
        <v>10</v>
      </c>
      <c r="S18" s="149">
        <v>2940</v>
      </c>
      <c r="T18" s="17" t="s">
        <v>82</v>
      </c>
      <c r="U18" s="22">
        <f t="shared" si="0"/>
        <v>12612.6</v>
      </c>
      <c r="V18" s="20">
        <v>45946</v>
      </c>
      <c r="W18" s="23" t="s">
        <v>41</v>
      </c>
      <c r="X18" s="24"/>
      <c r="Y18" s="25"/>
      <c r="Z18" s="26"/>
      <c r="AA18" s="123"/>
      <c r="AB18" s="124"/>
      <c r="AC18" s="117"/>
      <c r="AD18" s="118"/>
    </row>
    <row r="19" spans="1:30" ht="22.5" customHeight="1">
      <c r="A19" s="16">
        <v>11</v>
      </c>
      <c r="B19" s="17" t="s">
        <v>37</v>
      </c>
      <c r="C19" s="16" t="s">
        <v>83</v>
      </c>
      <c r="D19" s="18">
        <v>45926</v>
      </c>
      <c r="E19" s="16" t="s">
        <v>10</v>
      </c>
      <c r="F19" s="28">
        <v>45930</v>
      </c>
      <c r="G19" s="20">
        <v>45930</v>
      </c>
      <c r="H19" s="17" t="s">
        <v>84</v>
      </c>
      <c r="I19" s="16" t="s">
        <v>0</v>
      </c>
      <c r="J19" s="20">
        <v>45931</v>
      </c>
      <c r="K19" s="16" t="s">
        <v>10</v>
      </c>
      <c r="L19" s="17" t="s">
        <v>85</v>
      </c>
      <c r="M19" s="149">
        <v>1514</v>
      </c>
      <c r="N19" s="184">
        <v>1463</v>
      </c>
      <c r="O19" s="181">
        <v>1463</v>
      </c>
      <c r="P19" s="182">
        <v>0</v>
      </c>
      <c r="Q19" s="182">
        <v>0</v>
      </c>
      <c r="R19" s="190">
        <v>0</v>
      </c>
      <c r="S19" s="149">
        <v>5844</v>
      </c>
      <c r="T19" s="29">
        <v>0.99860000000000004</v>
      </c>
      <c r="U19" s="22">
        <f t="shared" si="0"/>
        <v>25070.76</v>
      </c>
      <c r="V19" s="20">
        <v>45939</v>
      </c>
      <c r="W19" s="23" t="s">
        <v>41</v>
      </c>
      <c r="X19" s="24"/>
      <c r="Y19" s="25"/>
      <c r="Z19" s="26"/>
      <c r="AA19" s="121"/>
      <c r="AB19" s="116"/>
      <c r="AC19" s="117"/>
      <c r="AD19" s="118"/>
    </row>
    <row r="20" spans="1:30" s="43" customFormat="1" ht="22.5" customHeight="1">
      <c r="A20" s="32">
        <v>12</v>
      </c>
      <c r="B20" s="33" t="s">
        <v>62</v>
      </c>
      <c r="C20" s="32" t="s">
        <v>86</v>
      </c>
      <c r="D20" s="34">
        <v>45917</v>
      </c>
      <c r="E20" s="32" t="s">
        <v>10</v>
      </c>
      <c r="F20" s="35">
        <v>45919</v>
      </c>
      <c r="G20" s="36">
        <v>45919</v>
      </c>
      <c r="H20" s="33" t="s">
        <v>87</v>
      </c>
      <c r="I20" s="32" t="s">
        <v>0</v>
      </c>
      <c r="J20" s="36">
        <v>45952</v>
      </c>
      <c r="K20" s="32" t="s">
        <v>10</v>
      </c>
      <c r="L20" s="33" t="s">
        <v>41</v>
      </c>
      <c r="M20" s="192">
        <v>750</v>
      </c>
      <c r="N20" s="193">
        <v>745</v>
      </c>
      <c r="O20" s="193">
        <v>735</v>
      </c>
      <c r="P20" s="193">
        <v>0</v>
      </c>
      <c r="Q20" s="193">
        <v>0</v>
      </c>
      <c r="R20" s="194">
        <v>10</v>
      </c>
      <c r="S20" s="153">
        <v>2940</v>
      </c>
      <c r="T20" s="33" t="s">
        <v>82</v>
      </c>
      <c r="U20" s="37">
        <f t="shared" si="0"/>
        <v>12612.6</v>
      </c>
      <c r="V20" s="36">
        <v>45936</v>
      </c>
      <c r="W20" s="38" t="s">
        <v>41</v>
      </c>
      <c r="X20" s="39"/>
      <c r="Y20" s="40"/>
      <c r="Z20" s="41"/>
      <c r="AA20" s="42"/>
      <c r="AB20" s="125"/>
      <c r="AC20" s="126"/>
      <c r="AD20" s="127"/>
    </row>
    <row r="21" spans="1:30" ht="33.75" customHeight="1">
      <c r="A21" s="16">
        <v>13</v>
      </c>
      <c r="B21" s="17" t="s">
        <v>88</v>
      </c>
      <c r="C21" s="16" t="s">
        <v>89</v>
      </c>
      <c r="D21" s="18">
        <v>45926</v>
      </c>
      <c r="E21" s="16" t="s">
        <v>90</v>
      </c>
      <c r="F21" s="19">
        <v>45931</v>
      </c>
      <c r="G21" s="18">
        <v>45931</v>
      </c>
      <c r="H21" s="17" t="s">
        <v>91</v>
      </c>
      <c r="I21" s="16" t="s">
        <v>0</v>
      </c>
      <c r="J21" s="20">
        <v>45945</v>
      </c>
      <c r="K21" s="16" t="s">
        <v>90</v>
      </c>
      <c r="L21" s="17" t="s">
        <v>92</v>
      </c>
      <c r="M21" s="154">
        <v>862</v>
      </c>
      <c r="N21" s="189">
        <v>859</v>
      </c>
      <c r="O21" s="182">
        <v>855</v>
      </c>
      <c r="P21" s="195">
        <v>0</v>
      </c>
      <c r="Q21" s="195">
        <v>0</v>
      </c>
      <c r="R21" s="190">
        <v>4</v>
      </c>
      <c r="S21" s="149">
        <v>2565</v>
      </c>
      <c r="T21" s="29">
        <v>0.99529999999999996</v>
      </c>
      <c r="U21" s="22">
        <f t="shared" si="0"/>
        <v>11003.85</v>
      </c>
      <c r="V21" s="44">
        <v>45951</v>
      </c>
      <c r="W21" s="23" t="s">
        <v>41</v>
      </c>
      <c r="Y21" s="24"/>
      <c r="Z21" s="45"/>
      <c r="AA21" s="46"/>
      <c r="AB21" s="147"/>
      <c r="AD21" s="48"/>
    </row>
    <row r="22" spans="1:30" ht="31.5" customHeight="1">
      <c r="A22" s="16">
        <v>13</v>
      </c>
      <c r="B22" s="17" t="s">
        <v>88</v>
      </c>
      <c r="C22" s="16" t="s">
        <v>89</v>
      </c>
      <c r="D22" s="18">
        <v>45926</v>
      </c>
      <c r="E22" s="16" t="s">
        <v>90</v>
      </c>
      <c r="F22" s="19">
        <v>45944</v>
      </c>
      <c r="G22" s="18">
        <v>45944</v>
      </c>
      <c r="H22" s="17" t="s">
        <v>91</v>
      </c>
      <c r="I22" s="16" t="s">
        <v>0</v>
      </c>
      <c r="J22" s="20">
        <v>45945</v>
      </c>
      <c r="K22" s="16" t="s">
        <v>90</v>
      </c>
      <c r="L22" s="17" t="s">
        <v>92</v>
      </c>
      <c r="M22" s="149">
        <v>1228</v>
      </c>
      <c r="N22" s="184">
        <v>1228</v>
      </c>
      <c r="O22" s="181">
        <v>1215</v>
      </c>
      <c r="P22" s="195">
        <v>0</v>
      </c>
      <c r="Q22" s="195">
        <v>0</v>
      </c>
      <c r="R22" s="190">
        <v>13</v>
      </c>
      <c r="S22" s="149">
        <v>4860</v>
      </c>
      <c r="T22" s="29">
        <v>0.98939999999999995</v>
      </c>
      <c r="U22" s="22">
        <f t="shared" si="0"/>
        <v>20849.400000000001</v>
      </c>
      <c r="V22" s="44">
        <v>45951</v>
      </c>
      <c r="W22" s="23" t="s">
        <v>41</v>
      </c>
      <c r="Y22" s="24"/>
      <c r="Z22" s="45"/>
      <c r="AA22" s="46"/>
      <c r="AB22" s="147"/>
      <c r="AD22" s="48"/>
    </row>
    <row r="23" spans="1:30" ht="22.5" customHeight="1">
      <c r="A23" s="16">
        <v>14</v>
      </c>
      <c r="B23" s="17" t="s">
        <v>37</v>
      </c>
      <c r="C23" s="16" t="s">
        <v>93</v>
      </c>
      <c r="D23" s="18">
        <v>45926</v>
      </c>
      <c r="E23" s="16" t="s">
        <v>90</v>
      </c>
      <c r="F23" s="28">
        <v>45931</v>
      </c>
      <c r="G23" s="20">
        <v>45931</v>
      </c>
      <c r="H23" s="17" t="s">
        <v>94</v>
      </c>
      <c r="I23" s="16" t="s">
        <v>0</v>
      </c>
      <c r="J23" s="20">
        <v>45932</v>
      </c>
      <c r="K23" s="16" t="s">
        <v>90</v>
      </c>
      <c r="L23" s="17" t="s">
        <v>95</v>
      </c>
      <c r="M23" s="154">
        <v>805</v>
      </c>
      <c r="N23" s="189">
        <v>786</v>
      </c>
      <c r="O23" s="182">
        <v>783</v>
      </c>
      <c r="P23" s="195">
        <v>1</v>
      </c>
      <c r="Q23" s="195">
        <v>0</v>
      </c>
      <c r="R23" s="190">
        <v>2</v>
      </c>
      <c r="S23" s="149">
        <v>3132</v>
      </c>
      <c r="T23" s="49">
        <v>0.99619999999999997</v>
      </c>
      <c r="U23" s="22">
        <f t="shared" si="0"/>
        <v>13436.28</v>
      </c>
      <c r="V23" s="44">
        <v>45946</v>
      </c>
      <c r="W23" s="23" t="s">
        <v>41</v>
      </c>
      <c r="X23" s="50"/>
      <c r="Z23" s="45"/>
      <c r="AA23" s="51"/>
      <c r="AB23" s="52"/>
      <c r="AD23" s="48"/>
    </row>
    <row r="24" spans="1:30" ht="22.5" customHeight="1">
      <c r="A24" s="16">
        <v>15</v>
      </c>
      <c r="B24" s="17" t="s">
        <v>37</v>
      </c>
      <c r="C24" s="16" t="s">
        <v>96</v>
      </c>
      <c r="D24" s="18">
        <v>45931</v>
      </c>
      <c r="E24" s="16" t="s">
        <v>90</v>
      </c>
      <c r="F24" s="28">
        <v>45932</v>
      </c>
      <c r="G24" s="20">
        <v>45932</v>
      </c>
      <c r="H24" s="17" t="s">
        <v>97</v>
      </c>
      <c r="I24" s="16" t="s">
        <v>0</v>
      </c>
      <c r="J24" s="20">
        <v>45933</v>
      </c>
      <c r="K24" s="16" t="s">
        <v>90</v>
      </c>
      <c r="L24" s="17" t="s">
        <v>98</v>
      </c>
      <c r="M24" s="149">
        <v>1500</v>
      </c>
      <c r="N24" s="184">
        <v>1454</v>
      </c>
      <c r="O24" s="181">
        <v>1454</v>
      </c>
      <c r="P24" s="195">
        <v>0</v>
      </c>
      <c r="Q24" s="195">
        <v>0</v>
      </c>
      <c r="R24" s="190">
        <v>0</v>
      </c>
      <c r="S24" s="149">
        <v>5816</v>
      </c>
      <c r="T24" s="53">
        <v>1</v>
      </c>
      <c r="U24" s="22">
        <f t="shared" si="0"/>
        <v>24950.639999999999</v>
      </c>
      <c r="V24" s="44">
        <v>45951</v>
      </c>
      <c r="W24" s="23" t="s">
        <v>41</v>
      </c>
      <c r="X24" s="50"/>
      <c r="Z24" s="45"/>
      <c r="AA24" s="54"/>
      <c r="AB24" s="47"/>
      <c r="AD24" s="48"/>
    </row>
    <row r="25" spans="1:30" ht="22.5" customHeight="1">
      <c r="A25" s="16">
        <v>16</v>
      </c>
      <c r="B25" s="17" t="s">
        <v>37</v>
      </c>
      <c r="C25" s="16" t="s">
        <v>99</v>
      </c>
      <c r="D25" s="18">
        <v>45932</v>
      </c>
      <c r="E25" s="16" t="s">
        <v>90</v>
      </c>
      <c r="F25" s="28">
        <v>45933</v>
      </c>
      <c r="G25" s="20">
        <v>45933</v>
      </c>
      <c r="H25" s="17" t="s">
        <v>100</v>
      </c>
      <c r="I25" s="16" t="s">
        <v>0</v>
      </c>
      <c r="J25" s="20">
        <v>45936</v>
      </c>
      <c r="K25" s="16" t="s">
        <v>90</v>
      </c>
      <c r="L25" s="17" t="s">
        <v>101</v>
      </c>
      <c r="M25" s="149">
        <v>1505</v>
      </c>
      <c r="N25" s="184">
        <v>1465</v>
      </c>
      <c r="O25" s="181">
        <v>1465</v>
      </c>
      <c r="P25" s="195">
        <v>0</v>
      </c>
      <c r="Q25" s="195">
        <v>0</v>
      </c>
      <c r="R25" s="190">
        <v>0</v>
      </c>
      <c r="S25" s="149">
        <v>5860</v>
      </c>
      <c r="T25" s="53">
        <v>1</v>
      </c>
      <c r="U25" s="22">
        <f t="shared" si="0"/>
        <v>25139.4</v>
      </c>
      <c r="V25" s="44">
        <v>45951</v>
      </c>
      <c r="W25" s="23" t="s">
        <v>41</v>
      </c>
      <c r="X25" s="117"/>
      <c r="Y25" s="55"/>
      <c r="Z25" s="45"/>
      <c r="AA25" s="54"/>
      <c r="AB25" s="47"/>
      <c r="AD25" s="48"/>
    </row>
    <row r="26" spans="1:30" ht="22.5" customHeight="1">
      <c r="A26" s="16">
        <v>17</v>
      </c>
      <c r="B26" s="17" t="s">
        <v>37</v>
      </c>
      <c r="C26" s="16" t="s">
        <v>102</v>
      </c>
      <c r="D26" s="18">
        <v>45933</v>
      </c>
      <c r="E26" s="16" t="s">
        <v>90</v>
      </c>
      <c r="F26" s="19">
        <v>45936</v>
      </c>
      <c r="G26" s="18">
        <v>45936</v>
      </c>
      <c r="H26" s="17" t="s">
        <v>103</v>
      </c>
      <c r="I26" s="16" t="s">
        <v>0</v>
      </c>
      <c r="J26" s="20">
        <v>45937</v>
      </c>
      <c r="K26" s="16" t="s">
        <v>90</v>
      </c>
      <c r="L26" s="17" t="s">
        <v>98</v>
      </c>
      <c r="M26" s="149">
        <v>1510</v>
      </c>
      <c r="N26" s="184">
        <v>1450</v>
      </c>
      <c r="O26" s="181">
        <v>1450</v>
      </c>
      <c r="P26" s="195">
        <v>0</v>
      </c>
      <c r="Q26" s="195">
        <v>0</v>
      </c>
      <c r="R26" s="190">
        <v>0</v>
      </c>
      <c r="S26" s="149">
        <v>5788</v>
      </c>
      <c r="T26" s="53">
        <v>1</v>
      </c>
      <c r="U26" s="22">
        <f t="shared" si="0"/>
        <v>24830.52</v>
      </c>
      <c r="V26" s="44">
        <v>45951</v>
      </c>
      <c r="W26" s="23" t="s">
        <v>41</v>
      </c>
      <c r="X26" s="50"/>
      <c r="Z26" s="45"/>
      <c r="AA26" s="54"/>
      <c r="AB26" s="47"/>
      <c r="AD26" s="48"/>
    </row>
    <row r="27" spans="1:30" ht="22.5" customHeight="1">
      <c r="A27" s="16">
        <v>18</v>
      </c>
      <c r="B27" s="17" t="s">
        <v>37</v>
      </c>
      <c r="C27" s="16" t="s">
        <v>104</v>
      </c>
      <c r="D27" s="18">
        <v>45936</v>
      </c>
      <c r="E27" s="16" t="s">
        <v>90</v>
      </c>
      <c r="F27" s="28">
        <v>45937</v>
      </c>
      <c r="G27" s="20">
        <v>45937</v>
      </c>
      <c r="H27" s="17" t="s">
        <v>105</v>
      </c>
      <c r="I27" s="16" t="s">
        <v>0</v>
      </c>
      <c r="J27" s="20">
        <v>45938</v>
      </c>
      <c r="K27" s="16" t="s">
        <v>90</v>
      </c>
      <c r="L27" s="17" t="s">
        <v>106</v>
      </c>
      <c r="M27" s="149">
        <v>2000</v>
      </c>
      <c r="N27" s="184">
        <v>1920</v>
      </c>
      <c r="O27" s="181">
        <v>1920</v>
      </c>
      <c r="P27" s="182">
        <v>0</v>
      </c>
      <c r="Q27" s="182">
        <v>0</v>
      </c>
      <c r="R27" s="190">
        <v>0</v>
      </c>
      <c r="S27" s="149">
        <v>7632</v>
      </c>
      <c r="T27" s="29">
        <v>0.99790000000000001</v>
      </c>
      <c r="U27" s="22">
        <f t="shared" si="0"/>
        <v>32741.279999999999</v>
      </c>
      <c r="V27" s="44">
        <v>45951</v>
      </c>
      <c r="W27" s="23" t="s">
        <v>41</v>
      </c>
      <c r="X27" s="117"/>
      <c r="Y27" s="117"/>
      <c r="Z27" s="45"/>
      <c r="AA27" s="121"/>
      <c r="AB27" s="124"/>
      <c r="AC27" s="117"/>
      <c r="AD27" s="48"/>
    </row>
    <row r="28" spans="1:30" ht="34.5" customHeight="1">
      <c r="A28" s="16">
        <v>19</v>
      </c>
      <c r="B28" s="61" t="s">
        <v>107</v>
      </c>
      <c r="C28" s="16" t="s">
        <v>108</v>
      </c>
      <c r="D28" s="18">
        <v>45950</v>
      </c>
      <c r="E28" s="16" t="s">
        <v>90</v>
      </c>
      <c r="F28" s="28">
        <v>45952</v>
      </c>
      <c r="G28" s="20">
        <v>45952</v>
      </c>
      <c r="H28" s="17" t="s">
        <v>109</v>
      </c>
      <c r="I28" s="16" t="s">
        <v>0</v>
      </c>
      <c r="J28" s="20">
        <v>45957</v>
      </c>
      <c r="K28" s="16" t="s">
        <v>90</v>
      </c>
      <c r="L28" s="17" t="s">
        <v>110</v>
      </c>
      <c r="M28" s="154">
        <v>165</v>
      </c>
      <c r="N28" s="189">
        <v>135</v>
      </c>
      <c r="O28" s="182">
        <v>135</v>
      </c>
      <c r="P28" s="182">
        <v>0</v>
      </c>
      <c r="Q28" s="182">
        <v>0</v>
      </c>
      <c r="R28" s="190">
        <v>0</v>
      </c>
      <c r="S28" s="154">
        <v>675</v>
      </c>
      <c r="T28" s="56">
        <v>1</v>
      </c>
      <c r="U28" s="22">
        <f t="shared" si="0"/>
        <v>2895.75</v>
      </c>
      <c r="V28" s="44">
        <v>45952</v>
      </c>
      <c r="W28" s="23" t="s">
        <v>41</v>
      </c>
      <c r="X28" s="24"/>
      <c r="Y28" s="24"/>
      <c r="Z28" s="45"/>
      <c r="AA28" s="122"/>
      <c r="AB28" s="116"/>
      <c r="AC28" s="117"/>
      <c r="AD28" s="48"/>
    </row>
    <row r="29" spans="1:30" ht="22.5" customHeight="1">
      <c r="A29" s="16">
        <v>20</v>
      </c>
      <c r="B29" s="16" t="s">
        <v>111</v>
      </c>
      <c r="C29" s="16" t="s">
        <v>112</v>
      </c>
      <c r="D29" s="18">
        <v>45946</v>
      </c>
      <c r="E29" s="16" t="s">
        <v>90</v>
      </c>
      <c r="F29" s="28">
        <v>45946</v>
      </c>
      <c r="G29" s="20">
        <v>45946</v>
      </c>
      <c r="H29" s="17" t="s">
        <v>113</v>
      </c>
      <c r="I29" s="16" t="s">
        <v>0</v>
      </c>
      <c r="J29" s="20">
        <v>45947</v>
      </c>
      <c r="K29" s="16" t="s">
        <v>90</v>
      </c>
      <c r="L29" s="17" t="s">
        <v>114</v>
      </c>
      <c r="M29" s="149">
        <v>1276</v>
      </c>
      <c r="N29" s="184">
        <v>1273</v>
      </c>
      <c r="O29" s="181">
        <v>1271</v>
      </c>
      <c r="P29" s="182">
        <v>0</v>
      </c>
      <c r="Q29" s="182">
        <v>0</v>
      </c>
      <c r="R29" s="190">
        <v>2</v>
      </c>
      <c r="S29" s="149">
        <v>5084</v>
      </c>
      <c r="T29" s="29">
        <v>0.99839999999999995</v>
      </c>
      <c r="U29" s="22">
        <f t="shared" si="0"/>
        <v>21810.36</v>
      </c>
      <c r="V29" s="44">
        <v>45952</v>
      </c>
      <c r="W29" s="23" t="s">
        <v>41</v>
      </c>
      <c r="X29" s="25"/>
      <c r="Y29" s="24"/>
      <c r="Z29" s="45"/>
      <c r="AA29" s="46"/>
      <c r="AB29" s="116"/>
      <c r="AC29" s="117"/>
      <c r="AD29" s="48"/>
    </row>
    <row r="30" spans="1:30" ht="22.5" customHeight="1">
      <c r="A30" s="16">
        <v>20</v>
      </c>
      <c r="B30" s="16" t="s">
        <v>111</v>
      </c>
      <c r="C30" s="16" t="s">
        <v>112</v>
      </c>
      <c r="D30" s="18">
        <v>45946</v>
      </c>
      <c r="E30" s="16" t="s">
        <v>90</v>
      </c>
      <c r="F30" s="28">
        <v>45946</v>
      </c>
      <c r="G30" s="20">
        <v>45946</v>
      </c>
      <c r="H30" s="17" t="s">
        <v>115</v>
      </c>
      <c r="I30" s="16" t="s">
        <v>2</v>
      </c>
      <c r="J30" s="20">
        <v>45947</v>
      </c>
      <c r="K30" s="16" t="s">
        <v>90</v>
      </c>
      <c r="L30" s="17" t="s">
        <v>116</v>
      </c>
      <c r="M30" s="149">
        <v>1103</v>
      </c>
      <c r="N30" s="184">
        <v>1103</v>
      </c>
      <c r="O30" s="182">
        <v>916</v>
      </c>
      <c r="P30" s="182">
        <v>0</v>
      </c>
      <c r="Q30" s="182">
        <v>0</v>
      </c>
      <c r="R30" s="190">
        <v>187</v>
      </c>
      <c r="S30" s="154">
        <v>916</v>
      </c>
      <c r="T30" s="29">
        <v>0.83050000000000002</v>
      </c>
      <c r="U30" s="22">
        <f>S30*1.61</f>
        <v>1474.76</v>
      </c>
      <c r="V30" s="44">
        <v>45972</v>
      </c>
      <c r="W30" s="23"/>
      <c r="X30" s="25"/>
      <c r="Y30" s="24"/>
      <c r="Z30" s="45"/>
      <c r="AA30" s="46"/>
      <c r="AB30" s="116"/>
      <c r="AC30" s="117"/>
      <c r="AD30" s="48"/>
    </row>
    <row r="31" spans="1:30" ht="22.5" customHeight="1">
      <c r="A31" s="16">
        <v>21</v>
      </c>
      <c r="B31" s="16" t="s">
        <v>111</v>
      </c>
      <c r="C31" s="16" t="s">
        <v>117</v>
      </c>
      <c r="D31" s="18">
        <v>45954</v>
      </c>
      <c r="E31" s="16" t="s">
        <v>90</v>
      </c>
      <c r="F31" s="28">
        <v>45954</v>
      </c>
      <c r="G31" s="20">
        <v>45954</v>
      </c>
      <c r="H31" s="17" t="s">
        <v>118</v>
      </c>
      <c r="I31" s="16" t="s">
        <v>0</v>
      </c>
      <c r="J31" s="20">
        <v>45958</v>
      </c>
      <c r="K31" s="16" t="s">
        <v>90</v>
      </c>
      <c r="L31" s="17" t="s">
        <v>119</v>
      </c>
      <c r="M31" s="154">
        <v>400</v>
      </c>
      <c r="N31" s="189">
        <v>396</v>
      </c>
      <c r="O31" s="182">
        <v>388</v>
      </c>
      <c r="P31" s="182">
        <v>0</v>
      </c>
      <c r="Q31" s="182">
        <v>0</v>
      </c>
      <c r="R31" s="190">
        <v>8</v>
      </c>
      <c r="S31" s="149">
        <v>1940</v>
      </c>
      <c r="T31" s="29">
        <v>0.9798</v>
      </c>
      <c r="U31" s="22">
        <f t="shared" si="0"/>
        <v>8322.6</v>
      </c>
      <c r="V31" s="44">
        <v>45960</v>
      </c>
      <c r="W31" s="23" t="s">
        <v>41</v>
      </c>
      <c r="X31" s="117"/>
      <c r="Y31" s="117"/>
      <c r="Z31" s="45"/>
      <c r="AA31" s="122"/>
      <c r="AB31" s="124"/>
      <c r="AC31" s="117"/>
      <c r="AD31" s="48"/>
    </row>
    <row r="32" spans="1:30" ht="22.5" customHeight="1">
      <c r="A32" s="16">
        <v>22</v>
      </c>
      <c r="B32" s="16" t="s">
        <v>111</v>
      </c>
      <c r="C32" s="16" t="s">
        <v>120</v>
      </c>
      <c r="D32" s="18">
        <v>45957</v>
      </c>
      <c r="E32" s="16" t="s">
        <v>90</v>
      </c>
      <c r="F32" s="28">
        <v>45957</v>
      </c>
      <c r="G32" s="20">
        <v>45957</v>
      </c>
      <c r="H32" s="17" t="s">
        <v>121</v>
      </c>
      <c r="I32" s="16" t="s">
        <v>2</v>
      </c>
      <c r="J32" s="20">
        <v>45958</v>
      </c>
      <c r="K32" s="16" t="s">
        <v>90</v>
      </c>
      <c r="L32" s="17" t="s">
        <v>122</v>
      </c>
      <c r="M32" s="154">
        <v>395</v>
      </c>
      <c r="N32" s="189">
        <v>390</v>
      </c>
      <c r="O32" s="182">
        <v>353</v>
      </c>
      <c r="P32" s="182">
        <v>0</v>
      </c>
      <c r="Q32" s="182">
        <v>0</v>
      </c>
      <c r="R32" s="190">
        <v>37</v>
      </c>
      <c r="S32" s="154">
        <v>353</v>
      </c>
      <c r="T32" s="29" t="s">
        <v>123</v>
      </c>
      <c r="U32" s="22">
        <f>S32*1.61</f>
        <v>568.33000000000004</v>
      </c>
      <c r="V32" s="44">
        <v>45960</v>
      </c>
      <c r="W32" s="23" t="s">
        <v>41</v>
      </c>
      <c r="X32" s="117"/>
      <c r="Y32" s="117"/>
      <c r="Z32" s="45"/>
      <c r="AA32" s="121"/>
      <c r="AB32" s="124"/>
      <c r="AC32" s="117"/>
      <c r="AD32" s="48"/>
    </row>
    <row r="33" spans="1:50" ht="22.5" customHeight="1">
      <c r="A33" s="16">
        <v>23</v>
      </c>
      <c r="B33" s="17" t="s">
        <v>52</v>
      </c>
      <c r="C33" s="16" t="s">
        <v>124</v>
      </c>
      <c r="D33" s="18">
        <v>45933</v>
      </c>
      <c r="E33" s="16" t="s">
        <v>90</v>
      </c>
      <c r="F33" s="28">
        <v>45933</v>
      </c>
      <c r="G33" s="20">
        <v>45937</v>
      </c>
      <c r="H33" s="3" t="s">
        <v>125</v>
      </c>
      <c r="I33" s="16" t="s">
        <v>2</v>
      </c>
      <c r="J33" s="20">
        <v>45945</v>
      </c>
      <c r="K33" s="16" t="s">
        <v>90</v>
      </c>
      <c r="L33" s="57" t="s">
        <v>116</v>
      </c>
      <c r="M33" s="149">
        <v>21802</v>
      </c>
      <c r="N33" s="184">
        <v>21181</v>
      </c>
      <c r="O33" s="196">
        <v>18366</v>
      </c>
      <c r="P33" s="197">
        <v>96</v>
      </c>
      <c r="Q33" s="197">
        <v>151</v>
      </c>
      <c r="R33" s="188">
        <v>2568</v>
      </c>
      <c r="S33" s="150">
        <v>18366</v>
      </c>
      <c r="T33" s="58">
        <v>0.86709999999999998</v>
      </c>
      <c r="U33" s="22">
        <f t="shared" ref="U33:U41" si="2">S33*1.61</f>
        <v>29569.260000000002</v>
      </c>
      <c r="V33" s="119">
        <v>45947</v>
      </c>
      <c r="W33" s="23"/>
      <c r="X33" s="117"/>
      <c r="Y33" s="117"/>
      <c r="Z33" s="45"/>
      <c r="AA33" s="59"/>
      <c r="AB33" s="124"/>
      <c r="AC33" s="117"/>
      <c r="AD33" s="48"/>
    </row>
    <row r="34" spans="1:50" ht="22.5" customHeight="1">
      <c r="A34" s="16">
        <v>23</v>
      </c>
      <c r="B34" s="17" t="s">
        <v>52</v>
      </c>
      <c r="C34" s="16" t="s">
        <v>124</v>
      </c>
      <c r="D34" s="18">
        <v>45933</v>
      </c>
      <c r="E34" s="16" t="s">
        <v>90</v>
      </c>
      <c r="F34" s="28">
        <v>45933</v>
      </c>
      <c r="G34" s="20">
        <v>45940</v>
      </c>
      <c r="H34" s="3" t="s">
        <v>125</v>
      </c>
      <c r="I34" s="16" t="s">
        <v>2</v>
      </c>
      <c r="J34" s="20">
        <v>45945</v>
      </c>
      <c r="K34" s="16" t="s">
        <v>90</v>
      </c>
      <c r="L34" s="57" t="s">
        <v>116</v>
      </c>
      <c r="M34" s="149">
        <v>21802</v>
      </c>
      <c r="N34" s="184">
        <v>21699</v>
      </c>
      <c r="O34" s="181">
        <v>18344</v>
      </c>
      <c r="P34" s="182">
        <v>49</v>
      </c>
      <c r="Q34" s="182">
        <v>679</v>
      </c>
      <c r="R34" s="188">
        <v>2627</v>
      </c>
      <c r="S34" s="149">
        <v>18344</v>
      </c>
      <c r="T34" s="29">
        <v>0.84540000000000004</v>
      </c>
      <c r="U34" s="22">
        <f t="shared" si="2"/>
        <v>29533.84</v>
      </c>
      <c r="V34" s="119">
        <v>45947</v>
      </c>
      <c r="W34" s="23"/>
      <c r="X34" s="117"/>
      <c r="Y34" s="117"/>
      <c r="Z34" s="45"/>
      <c r="AA34" s="59"/>
      <c r="AB34" s="124"/>
      <c r="AC34" s="117"/>
      <c r="AD34" s="48"/>
    </row>
    <row r="35" spans="1:50" ht="22.5" customHeight="1">
      <c r="A35" s="16">
        <v>23</v>
      </c>
      <c r="B35" s="17" t="s">
        <v>52</v>
      </c>
      <c r="C35" s="16" t="s">
        <v>124</v>
      </c>
      <c r="D35" s="18">
        <v>45933</v>
      </c>
      <c r="E35" s="16" t="s">
        <v>90</v>
      </c>
      <c r="F35" s="28">
        <v>45933</v>
      </c>
      <c r="G35" s="20">
        <v>45944</v>
      </c>
      <c r="H35" s="3" t="s">
        <v>125</v>
      </c>
      <c r="I35" s="16" t="s">
        <v>2</v>
      </c>
      <c r="J35" s="20">
        <v>45945</v>
      </c>
      <c r="K35" s="16" t="s">
        <v>90</v>
      </c>
      <c r="L35" s="57" t="s">
        <v>116</v>
      </c>
      <c r="M35" s="149">
        <v>21802</v>
      </c>
      <c r="N35" s="184">
        <v>21699</v>
      </c>
      <c r="O35" s="181">
        <v>18296</v>
      </c>
      <c r="P35" s="182">
        <v>51</v>
      </c>
      <c r="Q35" s="182">
        <v>708</v>
      </c>
      <c r="R35" s="188">
        <v>2644</v>
      </c>
      <c r="S35" s="149">
        <v>18296</v>
      </c>
      <c r="T35" s="29">
        <v>0.84319999999999995</v>
      </c>
      <c r="U35" s="22">
        <f t="shared" si="2"/>
        <v>29456.560000000001</v>
      </c>
      <c r="V35" s="119">
        <v>45947</v>
      </c>
      <c r="W35" s="23"/>
      <c r="X35" s="117"/>
      <c r="Y35" s="117"/>
      <c r="Z35" s="45"/>
      <c r="AA35" s="59"/>
      <c r="AB35" s="124"/>
      <c r="AC35" s="117"/>
      <c r="AD35" s="48"/>
    </row>
    <row r="36" spans="1:50" ht="22.5" customHeight="1">
      <c r="A36" s="16">
        <v>24</v>
      </c>
      <c r="B36" s="17" t="s">
        <v>52</v>
      </c>
      <c r="C36" s="16" t="s">
        <v>126</v>
      </c>
      <c r="D36" s="18">
        <v>46333</v>
      </c>
      <c r="E36" s="16" t="s">
        <v>127</v>
      </c>
      <c r="F36" s="28">
        <v>45968</v>
      </c>
      <c r="G36" s="20">
        <v>45968</v>
      </c>
      <c r="H36" s="3" t="s">
        <v>128</v>
      </c>
      <c r="I36" s="16" t="s">
        <v>2</v>
      </c>
      <c r="J36" s="20">
        <v>45975</v>
      </c>
      <c r="K36" s="16" t="s">
        <v>127</v>
      </c>
      <c r="L36" s="57" t="s">
        <v>129</v>
      </c>
      <c r="M36" s="149">
        <v>21241</v>
      </c>
      <c r="N36" s="184">
        <v>21241</v>
      </c>
      <c r="O36" s="198">
        <v>18205</v>
      </c>
      <c r="P36" s="199">
        <v>134</v>
      </c>
      <c r="Q36" s="199">
        <v>249</v>
      </c>
      <c r="R36" s="188">
        <v>2653</v>
      </c>
      <c r="S36" s="155">
        <v>18205</v>
      </c>
      <c r="T36" s="5" t="s">
        <v>130</v>
      </c>
      <c r="U36" s="22">
        <f t="shared" si="2"/>
        <v>29310.050000000003</v>
      </c>
      <c r="V36" s="119">
        <v>45985</v>
      </c>
      <c r="W36" s="23"/>
      <c r="X36" s="117"/>
      <c r="Y36" s="117"/>
      <c r="Z36" s="45"/>
      <c r="AA36" s="59"/>
      <c r="AB36" s="124"/>
      <c r="AC36" s="117"/>
      <c r="AD36" s="48"/>
    </row>
    <row r="37" spans="1:50" ht="22.5" customHeight="1">
      <c r="A37" s="16">
        <v>24</v>
      </c>
      <c r="B37" s="17" t="s">
        <v>52</v>
      </c>
      <c r="C37" s="16" t="s">
        <v>126</v>
      </c>
      <c r="D37" s="18">
        <v>46333</v>
      </c>
      <c r="E37" s="16" t="s">
        <v>127</v>
      </c>
      <c r="F37" s="28">
        <v>45968</v>
      </c>
      <c r="G37" s="20">
        <v>45972</v>
      </c>
      <c r="H37" s="3" t="s">
        <v>128</v>
      </c>
      <c r="I37" s="16" t="s">
        <v>2</v>
      </c>
      <c r="J37" s="20">
        <v>45975</v>
      </c>
      <c r="K37" s="16" t="s">
        <v>127</v>
      </c>
      <c r="L37" s="57" t="s">
        <v>129</v>
      </c>
      <c r="M37" s="149">
        <v>21241</v>
      </c>
      <c r="N37" s="184">
        <v>21241</v>
      </c>
      <c r="O37" s="198">
        <v>18186</v>
      </c>
      <c r="P37" s="199">
        <v>106</v>
      </c>
      <c r="Q37" s="199">
        <v>256</v>
      </c>
      <c r="R37" s="188">
        <v>2693</v>
      </c>
      <c r="S37" s="155">
        <v>18186</v>
      </c>
      <c r="T37" s="5" t="s">
        <v>131</v>
      </c>
      <c r="U37" s="22">
        <f t="shared" si="2"/>
        <v>29279.460000000003</v>
      </c>
      <c r="V37" s="119">
        <v>45985</v>
      </c>
      <c r="W37" s="23"/>
      <c r="X37" s="117"/>
      <c r="Y37" s="117"/>
      <c r="Z37" s="45"/>
      <c r="AA37" s="59"/>
      <c r="AB37" s="124"/>
      <c r="AC37" s="117"/>
      <c r="AD37" s="48"/>
    </row>
    <row r="38" spans="1:50" ht="22.5" customHeight="1">
      <c r="A38" s="16">
        <v>24</v>
      </c>
      <c r="B38" s="17" t="s">
        <v>52</v>
      </c>
      <c r="C38" s="16" t="s">
        <v>126</v>
      </c>
      <c r="D38" s="18">
        <v>46333</v>
      </c>
      <c r="E38" s="16" t="s">
        <v>127</v>
      </c>
      <c r="F38" s="28">
        <v>45968</v>
      </c>
      <c r="G38" s="20">
        <v>45974</v>
      </c>
      <c r="H38" s="3" t="s">
        <v>128</v>
      </c>
      <c r="I38" s="16" t="s">
        <v>2</v>
      </c>
      <c r="J38" s="20">
        <v>45975</v>
      </c>
      <c r="K38" s="16" t="s">
        <v>127</v>
      </c>
      <c r="L38" s="57" t="s">
        <v>129</v>
      </c>
      <c r="M38" s="149">
        <v>21241</v>
      </c>
      <c r="N38" s="184">
        <v>21241</v>
      </c>
      <c r="O38" s="198">
        <v>18170</v>
      </c>
      <c r="P38" s="199">
        <v>107</v>
      </c>
      <c r="Q38" s="187">
        <v>266</v>
      </c>
      <c r="R38" s="188">
        <v>2698</v>
      </c>
      <c r="S38" s="155">
        <v>18170</v>
      </c>
      <c r="T38" s="5" t="s">
        <v>132</v>
      </c>
      <c r="U38" s="22">
        <f t="shared" si="2"/>
        <v>29253.7</v>
      </c>
      <c r="V38" s="119">
        <v>45985</v>
      </c>
      <c r="W38" s="23"/>
      <c r="X38" s="117"/>
      <c r="Y38" s="117"/>
      <c r="Z38" s="45"/>
      <c r="AA38" s="59"/>
      <c r="AB38" s="124"/>
      <c r="AC38" s="117"/>
      <c r="AD38" s="48"/>
    </row>
    <row r="39" spans="1:50" ht="21" customHeight="1">
      <c r="A39" s="16">
        <v>25</v>
      </c>
      <c r="B39" s="16" t="s">
        <v>133</v>
      </c>
      <c r="C39" s="16" t="s">
        <v>134</v>
      </c>
      <c r="D39" s="18">
        <v>45966</v>
      </c>
      <c r="E39" s="16" t="s">
        <v>127</v>
      </c>
      <c r="F39" s="28">
        <v>46300</v>
      </c>
      <c r="G39" s="20">
        <v>45968</v>
      </c>
      <c r="H39" s="3" t="s">
        <v>135</v>
      </c>
      <c r="I39" s="16" t="s">
        <v>2</v>
      </c>
      <c r="J39" s="20">
        <v>45980</v>
      </c>
      <c r="K39" s="16" t="s">
        <v>127</v>
      </c>
      <c r="L39" s="57" t="s">
        <v>136</v>
      </c>
      <c r="M39" s="154">
        <v>66</v>
      </c>
      <c r="N39" s="189">
        <v>65</v>
      </c>
      <c r="O39" s="200">
        <v>59</v>
      </c>
      <c r="P39" s="200">
        <v>0</v>
      </c>
      <c r="Q39" s="182">
        <v>0</v>
      </c>
      <c r="R39" s="190">
        <v>6</v>
      </c>
      <c r="S39" s="156">
        <v>59</v>
      </c>
      <c r="T39" s="60">
        <v>0.90769999999999995</v>
      </c>
      <c r="U39" s="22">
        <f t="shared" si="2"/>
        <v>94.990000000000009</v>
      </c>
      <c r="V39" s="119">
        <v>45987</v>
      </c>
      <c r="W39" s="23"/>
      <c r="X39" s="117"/>
      <c r="Y39" s="117"/>
      <c r="Z39" s="45"/>
      <c r="AA39" s="59"/>
      <c r="AB39" s="124"/>
      <c r="AC39" s="117"/>
      <c r="AD39" s="48"/>
    </row>
    <row r="40" spans="1:50" ht="22.5" customHeight="1">
      <c r="A40" s="16">
        <v>25</v>
      </c>
      <c r="B40" s="16" t="s">
        <v>133</v>
      </c>
      <c r="C40" s="16" t="s">
        <v>134</v>
      </c>
      <c r="D40" s="18">
        <v>45966</v>
      </c>
      <c r="E40" s="16" t="s">
        <v>127</v>
      </c>
      <c r="F40" s="28">
        <v>46300</v>
      </c>
      <c r="G40" s="20">
        <v>45973</v>
      </c>
      <c r="H40" s="3" t="s">
        <v>137</v>
      </c>
      <c r="I40" s="16" t="s">
        <v>2</v>
      </c>
      <c r="J40" s="20">
        <v>45980</v>
      </c>
      <c r="K40" s="16" t="s">
        <v>127</v>
      </c>
      <c r="L40" s="57" t="s">
        <v>136</v>
      </c>
      <c r="M40" s="154">
        <v>66</v>
      </c>
      <c r="N40" s="189">
        <v>65</v>
      </c>
      <c r="O40" s="200">
        <v>59</v>
      </c>
      <c r="P40" s="200">
        <v>0</v>
      </c>
      <c r="Q40" s="182">
        <v>0</v>
      </c>
      <c r="R40" s="190">
        <v>6</v>
      </c>
      <c r="S40" s="156">
        <v>59</v>
      </c>
      <c r="T40" s="60">
        <v>0.90769999999999995</v>
      </c>
      <c r="U40" s="22">
        <f t="shared" si="2"/>
        <v>94.990000000000009</v>
      </c>
      <c r="V40" s="119">
        <v>45987</v>
      </c>
      <c r="W40" s="23"/>
      <c r="X40" s="117"/>
      <c r="Y40" s="117"/>
      <c r="Z40" s="45"/>
      <c r="AA40" s="59"/>
      <c r="AB40" s="124"/>
      <c r="AC40" s="117"/>
      <c r="AD40" s="48"/>
    </row>
    <row r="41" spans="1:50" ht="22.5" customHeight="1">
      <c r="A41" s="16">
        <v>25</v>
      </c>
      <c r="B41" s="16" t="s">
        <v>133</v>
      </c>
      <c r="C41" s="16" t="s">
        <v>134</v>
      </c>
      <c r="D41" s="18">
        <v>45966</v>
      </c>
      <c r="E41" s="16" t="s">
        <v>127</v>
      </c>
      <c r="F41" s="28">
        <v>46300</v>
      </c>
      <c r="G41" s="20">
        <v>45975</v>
      </c>
      <c r="H41" s="3" t="s">
        <v>138</v>
      </c>
      <c r="I41" s="16" t="s">
        <v>2</v>
      </c>
      <c r="J41" s="20">
        <v>45980</v>
      </c>
      <c r="K41" s="16" t="s">
        <v>127</v>
      </c>
      <c r="L41" s="57" t="s">
        <v>136</v>
      </c>
      <c r="M41" s="154">
        <v>66</v>
      </c>
      <c r="N41" s="189">
        <v>65</v>
      </c>
      <c r="O41" s="200">
        <v>59</v>
      </c>
      <c r="P41" s="200">
        <v>0</v>
      </c>
      <c r="Q41" s="182">
        <v>0</v>
      </c>
      <c r="R41" s="190">
        <v>6</v>
      </c>
      <c r="S41" s="156">
        <v>59</v>
      </c>
      <c r="T41" s="60">
        <v>0.90769999999999995</v>
      </c>
      <c r="U41" s="22">
        <f t="shared" si="2"/>
        <v>94.990000000000009</v>
      </c>
      <c r="V41" s="119">
        <v>45987</v>
      </c>
      <c r="W41" s="23"/>
      <c r="X41" s="117"/>
      <c r="Y41" s="117"/>
      <c r="Z41" s="45"/>
      <c r="AA41" s="59"/>
      <c r="AB41" s="124"/>
      <c r="AC41" s="117"/>
      <c r="AD41" s="48"/>
    </row>
    <row r="42" spans="1:50" ht="22.5" customHeight="1">
      <c r="A42" s="16">
        <v>26</v>
      </c>
      <c r="B42" s="17" t="s">
        <v>42</v>
      </c>
      <c r="C42" s="16" t="s">
        <v>139</v>
      </c>
      <c r="D42" s="18">
        <v>45966</v>
      </c>
      <c r="E42" s="16" t="s">
        <v>127</v>
      </c>
      <c r="F42" s="28">
        <v>45967</v>
      </c>
      <c r="G42" s="20">
        <v>45967</v>
      </c>
      <c r="H42" s="3" t="s">
        <v>140</v>
      </c>
      <c r="I42" s="16" t="s">
        <v>0</v>
      </c>
      <c r="J42" s="20">
        <v>45968</v>
      </c>
      <c r="K42" s="16" t="s">
        <v>127</v>
      </c>
      <c r="L42" s="57" t="s">
        <v>141</v>
      </c>
      <c r="M42" s="154">
        <v>729</v>
      </c>
      <c r="N42" s="189">
        <v>729</v>
      </c>
      <c r="O42" s="201">
        <v>725</v>
      </c>
      <c r="P42" s="182">
        <v>0</v>
      </c>
      <c r="Q42" s="182">
        <v>0</v>
      </c>
      <c r="R42" s="190">
        <v>4</v>
      </c>
      <c r="S42" s="157">
        <v>725</v>
      </c>
      <c r="T42" s="128">
        <v>0.99451303155006854</v>
      </c>
      <c r="U42" s="22">
        <f>S42*4.29</f>
        <v>3110.25</v>
      </c>
      <c r="V42" s="44">
        <v>45975</v>
      </c>
      <c r="W42" s="23"/>
      <c r="X42" s="117"/>
      <c r="Y42" s="117"/>
      <c r="Z42" s="45"/>
      <c r="AA42" s="59"/>
      <c r="AB42" s="124"/>
      <c r="AC42" s="117"/>
      <c r="AD42" s="48"/>
    </row>
    <row r="43" spans="1:50" ht="22.5" customHeight="1">
      <c r="A43" s="16">
        <v>26</v>
      </c>
      <c r="B43" s="17" t="s">
        <v>42</v>
      </c>
      <c r="C43" s="16" t="s">
        <v>139</v>
      </c>
      <c r="D43" s="18">
        <v>45966</v>
      </c>
      <c r="E43" s="16" t="s">
        <v>127</v>
      </c>
      <c r="F43" s="28">
        <v>45967</v>
      </c>
      <c r="G43" s="20">
        <v>45967</v>
      </c>
      <c r="H43" s="3" t="s">
        <v>142</v>
      </c>
      <c r="I43" s="16" t="s">
        <v>2</v>
      </c>
      <c r="J43" s="20">
        <v>45968</v>
      </c>
      <c r="K43" s="16" t="s">
        <v>127</v>
      </c>
      <c r="L43" s="57" t="s">
        <v>143</v>
      </c>
      <c r="M43" s="154">
        <v>613</v>
      </c>
      <c r="N43" s="189">
        <v>613</v>
      </c>
      <c r="O43" s="182">
        <v>524</v>
      </c>
      <c r="P43" s="182">
        <v>8</v>
      </c>
      <c r="Q43" s="182">
        <v>0</v>
      </c>
      <c r="R43" s="190">
        <v>81</v>
      </c>
      <c r="S43" s="154">
        <v>524</v>
      </c>
      <c r="T43" s="128">
        <v>0.99451303155006854</v>
      </c>
      <c r="U43" s="22">
        <f>S43*1.61</f>
        <v>843.6400000000001</v>
      </c>
      <c r="V43" s="44">
        <v>45975</v>
      </c>
      <c r="W43" s="23" t="s">
        <v>41</v>
      </c>
      <c r="X43" s="117"/>
      <c r="Y43" s="117"/>
      <c r="Z43" s="45"/>
      <c r="AA43" s="59"/>
      <c r="AB43" s="124"/>
      <c r="AC43" s="117"/>
      <c r="AD43" s="48"/>
    </row>
    <row r="44" spans="1:50" ht="22.5" customHeight="1">
      <c r="A44" s="61">
        <v>27</v>
      </c>
      <c r="B44" s="17" t="s">
        <v>42</v>
      </c>
      <c r="C44" s="61" t="s">
        <v>144</v>
      </c>
      <c r="D44" s="62">
        <v>45971</v>
      </c>
      <c r="E44" s="63" t="s">
        <v>127</v>
      </c>
      <c r="F44" s="64">
        <v>45971</v>
      </c>
      <c r="G44" s="62">
        <v>45972</v>
      </c>
      <c r="H44" s="4" t="s">
        <v>145</v>
      </c>
      <c r="I44" s="63" t="s">
        <v>0</v>
      </c>
      <c r="J44" s="65">
        <v>45973</v>
      </c>
      <c r="K44" s="63" t="s">
        <v>127</v>
      </c>
      <c r="L44" s="4" t="s">
        <v>146</v>
      </c>
      <c r="M44" s="154">
        <v>146</v>
      </c>
      <c r="N44" s="189">
        <v>146</v>
      </c>
      <c r="O44" s="202">
        <v>1022</v>
      </c>
      <c r="P44" s="182">
        <v>0</v>
      </c>
      <c r="Q44" s="182">
        <v>0</v>
      </c>
      <c r="R44" s="190">
        <v>-876</v>
      </c>
      <c r="S44" s="158">
        <v>1022</v>
      </c>
      <c r="T44" s="66">
        <v>1</v>
      </c>
      <c r="U44" s="22">
        <f>S44*4.29</f>
        <v>4384.38</v>
      </c>
      <c r="V44" s="44">
        <v>45986</v>
      </c>
      <c r="W44" s="67" t="s">
        <v>41</v>
      </c>
      <c r="X44" s="24"/>
      <c r="Y44" s="68"/>
      <c r="Z44" s="68"/>
      <c r="AA44" s="69"/>
      <c r="AB44" s="24"/>
      <c r="AC44" s="24"/>
      <c r="AD44" s="68"/>
      <c r="AE44" s="24"/>
      <c r="AF44" s="70"/>
      <c r="AG44" s="25"/>
      <c r="AH44" s="25"/>
      <c r="AI44" s="129"/>
      <c r="AJ44" s="129"/>
      <c r="AK44" s="129"/>
      <c r="AL44" s="129"/>
      <c r="AM44" s="129"/>
      <c r="AN44" s="46"/>
      <c r="AO44" s="71"/>
      <c r="AP44" s="72"/>
      <c r="AQ44" s="24"/>
      <c r="AR44" s="117"/>
      <c r="AS44" s="117"/>
      <c r="AT44" s="45"/>
      <c r="AU44" s="59"/>
      <c r="AV44" s="124"/>
      <c r="AW44" s="117"/>
      <c r="AX44" s="48"/>
    </row>
    <row r="45" spans="1:50" ht="22.5" customHeight="1">
      <c r="A45" s="61">
        <v>27</v>
      </c>
      <c r="B45" s="17" t="s">
        <v>42</v>
      </c>
      <c r="C45" s="61" t="s">
        <v>144</v>
      </c>
      <c r="D45" s="62">
        <v>45971</v>
      </c>
      <c r="E45" s="63" t="s">
        <v>127</v>
      </c>
      <c r="F45" s="64">
        <v>45971</v>
      </c>
      <c r="G45" s="62">
        <v>45972</v>
      </c>
      <c r="H45" s="4" t="s">
        <v>145</v>
      </c>
      <c r="I45" s="63" t="s">
        <v>0</v>
      </c>
      <c r="J45" s="65">
        <v>45973</v>
      </c>
      <c r="K45" s="63" t="s">
        <v>127</v>
      </c>
      <c r="L45" s="4" t="s">
        <v>146</v>
      </c>
      <c r="M45" s="154">
        <v>118</v>
      </c>
      <c r="N45" s="189">
        <v>118</v>
      </c>
      <c r="O45" s="203">
        <v>826</v>
      </c>
      <c r="P45" s="182">
        <v>0</v>
      </c>
      <c r="Q45" s="182">
        <v>0</v>
      </c>
      <c r="R45" s="190">
        <v>-708</v>
      </c>
      <c r="S45" s="159">
        <v>826</v>
      </c>
      <c r="T45" s="66">
        <v>1</v>
      </c>
      <c r="U45" s="22">
        <f>S45*4.29</f>
        <v>3543.54</v>
      </c>
      <c r="V45" s="44">
        <v>45986</v>
      </c>
      <c r="W45" s="67"/>
      <c r="X45" s="24"/>
      <c r="Y45" s="68"/>
      <c r="Z45" s="68"/>
      <c r="AA45" s="69"/>
      <c r="AB45" s="24"/>
      <c r="AC45" s="24"/>
      <c r="AD45" s="68"/>
      <c r="AE45" s="24"/>
      <c r="AF45" s="70"/>
      <c r="AG45" s="25"/>
      <c r="AH45" s="25"/>
      <c r="AI45" s="129"/>
      <c r="AJ45" s="129"/>
      <c r="AK45" s="129"/>
      <c r="AL45" s="129"/>
      <c r="AM45" s="129"/>
      <c r="AN45" s="46"/>
      <c r="AO45" s="71"/>
      <c r="AP45" s="72"/>
      <c r="AQ45" s="24"/>
      <c r="AR45" s="117"/>
      <c r="AS45" s="117"/>
      <c r="AT45" s="45"/>
      <c r="AU45" s="59"/>
      <c r="AV45" s="124"/>
      <c r="AW45" s="117"/>
      <c r="AX45" s="48"/>
    </row>
    <row r="46" spans="1:50" ht="22.5" customHeight="1">
      <c r="A46" s="61">
        <v>28</v>
      </c>
      <c r="B46" s="61" t="s">
        <v>147</v>
      </c>
      <c r="C46" s="61" t="s">
        <v>148</v>
      </c>
      <c r="D46" s="62">
        <v>45982</v>
      </c>
      <c r="E46" s="63" t="s">
        <v>127</v>
      </c>
      <c r="F46" s="64">
        <v>45982</v>
      </c>
      <c r="G46" s="62">
        <v>45985</v>
      </c>
      <c r="H46" s="4" t="s">
        <v>149</v>
      </c>
      <c r="I46" s="63" t="s">
        <v>0</v>
      </c>
      <c r="J46" s="65">
        <v>45985</v>
      </c>
      <c r="K46" s="63" t="s">
        <v>127</v>
      </c>
      <c r="L46" s="4" t="s">
        <v>150</v>
      </c>
      <c r="M46" s="149">
        <v>7677</v>
      </c>
      <c r="N46" s="189">
        <v>7671</v>
      </c>
      <c r="O46" s="202">
        <v>7658</v>
      </c>
      <c r="P46" s="203">
        <v>9</v>
      </c>
      <c r="Q46" s="203">
        <v>1</v>
      </c>
      <c r="R46" s="190">
        <v>3</v>
      </c>
      <c r="S46" s="158">
        <v>22974</v>
      </c>
      <c r="T46" s="66">
        <v>0.99829999999999997</v>
      </c>
      <c r="U46" s="22">
        <f>S46*4.29</f>
        <v>98558.46</v>
      </c>
      <c r="V46" s="20">
        <v>45992</v>
      </c>
      <c r="W46" s="67"/>
      <c r="X46" s="24"/>
      <c r="Y46" s="68"/>
      <c r="Z46" s="68"/>
      <c r="AA46" s="69"/>
      <c r="AB46" s="24"/>
      <c r="AC46" s="24"/>
      <c r="AD46" s="68"/>
      <c r="AE46" s="24"/>
      <c r="AF46" s="70"/>
      <c r="AG46" s="25"/>
      <c r="AH46" s="25"/>
      <c r="AI46" s="129"/>
      <c r="AJ46" s="129"/>
      <c r="AK46" s="129"/>
      <c r="AL46" s="129"/>
      <c r="AM46" s="129"/>
      <c r="AN46" s="46"/>
      <c r="AO46" s="71"/>
      <c r="AP46" s="72"/>
      <c r="AQ46" s="24"/>
      <c r="AR46" s="117"/>
      <c r="AS46" s="117"/>
      <c r="AT46" s="45"/>
      <c r="AU46" s="59"/>
      <c r="AV46" s="124"/>
      <c r="AW46" s="117"/>
      <c r="AX46" s="48"/>
    </row>
    <row r="47" spans="1:50" ht="22.5" customHeight="1">
      <c r="A47" s="61">
        <v>29</v>
      </c>
      <c r="B47" s="61" t="s">
        <v>151</v>
      </c>
      <c r="C47" s="61" t="s">
        <v>152</v>
      </c>
      <c r="D47" s="62">
        <v>45985</v>
      </c>
      <c r="E47" s="63" t="s">
        <v>127</v>
      </c>
      <c r="F47" s="64">
        <v>45986</v>
      </c>
      <c r="G47" s="62">
        <v>45986</v>
      </c>
      <c r="H47" s="4" t="s">
        <v>153</v>
      </c>
      <c r="I47" s="63" t="s">
        <v>2</v>
      </c>
      <c r="J47" s="65">
        <v>45985</v>
      </c>
      <c r="K47" s="63" t="s">
        <v>127</v>
      </c>
      <c r="L47" s="4" t="s">
        <v>154</v>
      </c>
      <c r="M47" s="149">
        <v>45404</v>
      </c>
      <c r="N47" s="184">
        <v>45335</v>
      </c>
      <c r="O47" s="198">
        <v>38327</v>
      </c>
      <c r="P47" s="199">
        <v>464</v>
      </c>
      <c r="Q47" s="182">
        <v>3</v>
      </c>
      <c r="R47" s="188">
        <v>6541</v>
      </c>
      <c r="S47" s="155">
        <v>38327</v>
      </c>
      <c r="T47" s="66" t="s">
        <v>155</v>
      </c>
      <c r="U47" s="22">
        <f>S47*1.61</f>
        <v>61706.47</v>
      </c>
      <c r="V47" s="20">
        <v>45993</v>
      </c>
      <c r="W47" s="67"/>
      <c r="X47" s="24"/>
      <c r="Y47" s="68"/>
      <c r="Z47" s="68"/>
      <c r="AA47" s="69"/>
      <c r="AB47" s="24"/>
      <c r="AC47" s="24"/>
      <c r="AD47" s="68"/>
      <c r="AE47" s="24"/>
      <c r="AF47" s="70"/>
      <c r="AG47" s="25"/>
      <c r="AH47" s="25"/>
      <c r="AI47" s="129"/>
      <c r="AJ47" s="129"/>
      <c r="AK47" s="129"/>
      <c r="AL47" s="129"/>
      <c r="AM47" s="129"/>
      <c r="AN47" s="46"/>
      <c r="AO47" s="71"/>
      <c r="AP47" s="72"/>
      <c r="AQ47" s="24"/>
      <c r="AR47" s="117"/>
      <c r="AS47" s="117"/>
      <c r="AT47" s="45"/>
      <c r="AU47" s="59"/>
      <c r="AV47" s="124"/>
      <c r="AW47" s="117"/>
      <c r="AX47" s="48"/>
    </row>
    <row r="48" spans="1:50" ht="22.5" customHeight="1">
      <c r="A48" s="61">
        <v>29</v>
      </c>
      <c r="B48" s="61" t="s">
        <v>151</v>
      </c>
      <c r="C48" s="61" t="s">
        <v>152</v>
      </c>
      <c r="D48" s="62">
        <v>45985</v>
      </c>
      <c r="E48" s="63" t="s">
        <v>127</v>
      </c>
      <c r="F48" s="64">
        <v>45986</v>
      </c>
      <c r="G48" s="62">
        <v>45986</v>
      </c>
      <c r="H48" s="4" t="s">
        <v>153</v>
      </c>
      <c r="I48" s="63" t="s">
        <v>0</v>
      </c>
      <c r="J48" s="65">
        <v>45985</v>
      </c>
      <c r="K48" s="63" t="s">
        <v>127</v>
      </c>
      <c r="L48" s="4" t="s">
        <v>156</v>
      </c>
      <c r="M48" s="149">
        <v>57197</v>
      </c>
      <c r="N48" s="189">
        <v>57154</v>
      </c>
      <c r="O48" s="202">
        <v>57067</v>
      </c>
      <c r="P48" s="203">
        <v>28</v>
      </c>
      <c r="Q48" s="203">
        <v>3</v>
      </c>
      <c r="R48" s="190">
        <v>56</v>
      </c>
      <c r="S48" s="158">
        <v>285335</v>
      </c>
      <c r="T48" s="66">
        <v>0.99850000000000005</v>
      </c>
      <c r="U48" s="22">
        <f>S48*4.29</f>
        <v>1224087.1499999999</v>
      </c>
      <c r="V48" s="20">
        <v>45993</v>
      </c>
      <c r="W48" s="67"/>
      <c r="X48" s="24"/>
      <c r="Y48" s="68"/>
      <c r="Z48" s="68"/>
      <c r="AA48" s="69"/>
      <c r="AB48" s="24"/>
      <c r="AC48" s="24"/>
      <c r="AD48" s="68"/>
      <c r="AE48" s="24"/>
      <c r="AF48" s="70"/>
      <c r="AG48" s="25"/>
      <c r="AH48" s="25"/>
      <c r="AI48" s="129"/>
      <c r="AJ48" s="129"/>
      <c r="AK48" s="129"/>
      <c r="AL48" s="129"/>
      <c r="AM48" s="129"/>
      <c r="AN48" s="46"/>
      <c r="AO48" s="71"/>
      <c r="AP48" s="72"/>
      <c r="AQ48" s="24"/>
      <c r="AR48" s="117"/>
      <c r="AS48" s="117"/>
      <c r="AT48" s="45"/>
      <c r="AU48" s="59"/>
      <c r="AV48" s="124"/>
      <c r="AW48" s="117"/>
      <c r="AX48" s="48"/>
    </row>
    <row r="49" spans="1:50" ht="22.5" customHeight="1">
      <c r="A49" s="61">
        <v>30</v>
      </c>
      <c r="B49" s="61" t="s">
        <v>107</v>
      </c>
      <c r="C49" s="61" t="s">
        <v>157</v>
      </c>
      <c r="D49" s="62">
        <v>45986</v>
      </c>
      <c r="E49" s="63" t="s">
        <v>127</v>
      </c>
      <c r="F49" s="64">
        <v>45986</v>
      </c>
      <c r="G49" s="62">
        <v>45986</v>
      </c>
      <c r="H49" s="4" t="s">
        <v>158</v>
      </c>
      <c r="I49" s="63" t="s">
        <v>0</v>
      </c>
      <c r="J49" s="65">
        <v>45986</v>
      </c>
      <c r="K49" s="63" t="s">
        <v>127</v>
      </c>
      <c r="L49" s="4" t="s">
        <v>159</v>
      </c>
      <c r="M49" s="154">
        <v>772</v>
      </c>
      <c r="N49" s="189">
        <v>770</v>
      </c>
      <c r="O49" s="203">
        <v>770</v>
      </c>
      <c r="P49" s="182">
        <v>0</v>
      </c>
      <c r="Q49" s="182">
        <v>0</v>
      </c>
      <c r="R49" s="190">
        <v>0</v>
      </c>
      <c r="S49" s="159">
        <v>3080</v>
      </c>
      <c r="T49" s="66">
        <v>1</v>
      </c>
      <c r="U49" s="22">
        <f t="shared" ref="U49:U50" si="3">S49*4.29</f>
        <v>13213.2</v>
      </c>
      <c r="V49" s="20">
        <v>45992</v>
      </c>
      <c r="W49" s="67"/>
      <c r="X49" s="24"/>
      <c r="Y49" s="68"/>
      <c r="Z49" s="68"/>
      <c r="AA49" s="69"/>
      <c r="AB49" s="24"/>
      <c r="AC49" s="24"/>
      <c r="AD49" s="68"/>
      <c r="AE49" s="24"/>
      <c r="AF49" s="70"/>
      <c r="AG49" s="25"/>
      <c r="AH49" s="25"/>
      <c r="AI49" s="129"/>
      <c r="AJ49" s="129"/>
      <c r="AK49" s="129"/>
      <c r="AL49" s="129"/>
      <c r="AM49" s="129"/>
      <c r="AN49" s="46"/>
      <c r="AO49" s="71"/>
      <c r="AP49" s="72"/>
      <c r="AQ49" s="24"/>
      <c r="AR49" s="117"/>
      <c r="AS49" s="117"/>
      <c r="AT49" s="45"/>
      <c r="AU49" s="59"/>
      <c r="AV49" s="124"/>
      <c r="AW49" s="117"/>
      <c r="AX49" s="48"/>
    </row>
    <row r="50" spans="1:50" ht="22.5" customHeight="1">
      <c r="A50" s="61">
        <v>30</v>
      </c>
      <c r="B50" s="61" t="s">
        <v>107</v>
      </c>
      <c r="C50" s="61" t="s">
        <v>157</v>
      </c>
      <c r="D50" s="62">
        <v>45986</v>
      </c>
      <c r="E50" s="63" t="s">
        <v>127</v>
      </c>
      <c r="F50" s="64">
        <v>45986</v>
      </c>
      <c r="G50" s="62">
        <v>45986</v>
      </c>
      <c r="H50" s="4" t="s">
        <v>160</v>
      </c>
      <c r="I50" s="63" t="s">
        <v>0</v>
      </c>
      <c r="J50" s="65">
        <v>45986</v>
      </c>
      <c r="K50" s="63" t="s">
        <v>127</v>
      </c>
      <c r="L50" s="4" t="s">
        <v>159</v>
      </c>
      <c r="M50" s="154">
        <v>612</v>
      </c>
      <c r="N50" s="189">
        <v>611</v>
      </c>
      <c r="O50" s="182">
        <v>610</v>
      </c>
      <c r="P50" s="182">
        <v>0</v>
      </c>
      <c r="Q50" s="182">
        <v>0</v>
      </c>
      <c r="R50" s="190">
        <v>1</v>
      </c>
      <c r="S50" s="159">
        <v>3050</v>
      </c>
      <c r="T50" s="66">
        <v>0.99839999999999995</v>
      </c>
      <c r="U50" s="22">
        <f t="shared" si="3"/>
        <v>13084.5</v>
      </c>
      <c r="V50" s="20">
        <v>45992</v>
      </c>
      <c r="W50" s="67"/>
      <c r="X50" s="24"/>
      <c r="Y50" s="68"/>
      <c r="Z50" s="68"/>
      <c r="AA50" s="69"/>
      <c r="AB50" s="24"/>
      <c r="AC50" s="24"/>
      <c r="AD50" s="68"/>
      <c r="AE50" s="24"/>
      <c r="AF50" s="70"/>
      <c r="AG50" s="25"/>
      <c r="AH50" s="25"/>
      <c r="AI50" s="129"/>
      <c r="AJ50" s="129"/>
      <c r="AK50" s="129"/>
      <c r="AL50" s="129"/>
      <c r="AM50" s="129"/>
      <c r="AN50" s="46"/>
      <c r="AO50" s="71"/>
      <c r="AP50" s="72"/>
      <c r="AQ50" s="24"/>
      <c r="AR50" s="117"/>
      <c r="AS50" s="117"/>
      <c r="AT50" s="45"/>
      <c r="AU50" s="59"/>
      <c r="AV50" s="124"/>
      <c r="AW50" s="117"/>
      <c r="AX50" s="48"/>
    </row>
    <row r="51" spans="1:50" ht="30.75" customHeight="1">
      <c r="A51" s="61">
        <v>31</v>
      </c>
      <c r="B51" s="17" t="s">
        <v>42</v>
      </c>
      <c r="C51" s="61" t="s">
        <v>161</v>
      </c>
      <c r="D51" s="62">
        <v>45988</v>
      </c>
      <c r="E51" s="63" t="s">
        <v>127</v>
      </c>
      <c r="F51" s="64">
        <v>45988</v>
      </c>
      <c r="G51" s="62">
        <v>45988</v>
      </c>
      <c r="H51" s="4" t="s">
        <v>162</v>
      </c>
      <c r="I51" s="63" t="s">
        <v>2</v>
      </c>
      <c r="J51" s="65">
        <v>45989</v>
      </c>
      <c r="K51" s="63" t="s">
        <v>12</v>
      </c>
      <c r="L51" s="4" t="s">
        <v>163</v>
      </c>
      <c r="M51" s="149">
        <v>3250</v>
      </c>
      <c r="N51" s="189">
        <v>3244</v>
      </c>
      <c r="O51" s="198">
        <v>2738</v>
      </c>
      <c r="P51" s="182">
        <v>5</v>
      </c>
      <c r="Q51" s="199">
        <v>25</v>
      </c>
      <c r="R51" s="190">
        <v>476</v>
      </c>
      <c r="S51" s="155">
        <v>2738</v>
      </c>
      <c r="T51" s="73">
        <v>0.84399999999999997</v>
      </c>
      <c r="U51" s="22">
        <f>S51*1.61</f>
        <v>4408.18</v>
      </c>
      <c r="V51" s="20">
        <v>45993</v>
      </c>
      <c r="W51" s="23"/>
      <c r="X51" s="117"/>
      <c r="Y51" s="117"/>
      <c r="Z51" s="24"/>
      <c r="AA51" s="117"/>
      <c r="AB51" s="117"/>
      <c r="AC51" s="117"/>
      <c r="AD51" s="117"/>
    </row>
    <row r="52" spans="1:50" ht="22.5" customHeight="1">
      <c r="A52" s="61">
        <v>31</v>
      </c>
      <c r="B52" s="17" t="s">
        <v>42</v>
      </c>
      <c r="C52" s="61" t="s">
        <v>161</v>
      </c>
      <c r="D52" s="62">
        <v>45988</v>
      </c>
      <c r="E52" s="63" t="s">
        <v>127</v>
      </c>
      <c r="F52" s="64">
        <v>45988</v>
      </c>
      <c r="G52" s="62">
        <v>45988</v>
      </c>
      <c r="H52" s="61" t="s">
        <v>164</v>
      </c>
      <c r="I52" s="63" t="s">
        <v>0</v>
      </c>
      <c r="J52" s="65">
        <v>45988</v>
      </c>
      <c r="K52" s="63" t="s">
        <v>12</v>
      </c>
      <c r="L52" s="4" t="s">
        <v>141</v>
      </c>
      <c r="M52" s="149">
        <v>3668</v>
      </c>
      <c r="N52" s="189">
        <v>3666</v>
      </c>
      <c r="O52" s="202">
        <v>3655</v>
      </c>
      <c r="P52" s="182">
        <v>0</v>
      </c>
      <c r="Q52" s="182">
        <v>0</v>
      </c>
      <c r="R52" s="190">
        <v>11</v>
      </c>
      <c r="S52" s="158">
        <v>21930</v>
      </c>
      <c r="T52" s="29">
        <v>0.997</v>
      </c>
      <c r="U52" s="22">
        <f>S52*4.29</f>
        <v>94079.7</v>
      </c>
      <c r="V52" s="20">
        <v>45993</v>
      </c>
      <c r="W52" s="23"/>
      <c r="X52" s="117"/>
      <c r="Y52" s="117"/>
      <c r="Z52" s="24"/>
      <c r="AA52" s="117"/>
      <c r="AB52" s="117"/>
      <c r="AC52" s="117"/>
      <c r="AD52" s="117"/>
    </row>
    <row r="53" spans="1:50" ht="22.5" customHeight="1">
      <c r="A53" s="61">
        <v>32</v>
      </c>
      <c r="B53" s="17" t="s">
        <v>42</v>
      </c>
      <c r="C53" s="61" t="s">
        <v>165</v>
      </c>
      <c r="D53" s="62">
        <v>45993</v>
      </c>
      <c r="E53" s="63" t="s">
        <v>166</v>
      </c>
      <c r="F53" s="64">
        <v>45993</v>
      </c>
      <c r="G53" s="62">
        <v>45993</v>
      </c>
      <c r="H53" s="61" t="s">
        <v>167</v>
      </c>
      <c r="I53" s="63" t="s">
        <v>0</v>
      </c>
      <c r="J53" s="65">
        <v>45994</v>
      </c>
      <c r="K53" s="63" t="s">
        <v>13</v>
      </c>
      <c r="L53" s="4" t="s">
        <v>168</v>
      </c>
      <c r="M53" s="154">
        <v>359</v>
      </c>
      <c r="N53" s="189">
        <v>359</v>
      </c>
      <c r="O53" s="203">
        <v>359</v>
      </c>
      <c r="P53" s="182">
        <v>0</v>
      </c>
      <c r="Q53" s="182">
        <v>0</v>
      </c>
      <c r="R53" s="190">
        <v>0</v>
      </c>
      <c r="S53" s="158">
        <v>2154</v>
      </c>
      <c r="T53" s="29">
        <v>1</v>
      </c>
      <c r="U53" s="22">
        <f>S53*4.29</f>
        <v>9240.66</v>
      </c>
      <c r="V53" s="20">
        <v>46006</v>
      </c>
      <c r="W53" s="23"/>
      <c r="X53" s="117"/>
      <c r="Y53" s="117"/>
      <c r="Z53" s="24"/>
      <c r="AA53" s="117"/>
      <c r="AB53" s="117"/>
      <c r="AC53" s="117"/>
      <c r="AD53" s="117"/>
    </row>
    <row r="54" spans="1:50" ht="22.5" customHeight="1">
      <c r="A54" s="61">
        <v>33</v>
      </c>
      <c r="B54" s="17" t="s">
        <v>88</v>
      </c>
      <c r="C54" s="61" t="s">
        <v>169</v>
      </c>
      <c r="D54" s="62">
        <v>45988</v>
      </c>
      <c r="E54" s="63" t="s">
        <v>127</v>
      </c>
      <c r="F54" s="64">
        <v>45992</v>
      </c>
      <c r="G54" s="62">
        <v>45994</v>
      </c>
      <c r="H54" s="63" t="s">
        <v>170</v>
      </c>
      <c r="I54" s="63" t="s">
        <v>0</v>
      </c>
      <c r="J54" s="65">
        <v>46002</v>
      </c>
      <c r="K54" s="63" t="s">
        <v>13</v>
      </c>
      <c r="L54" s="4" t="s">
        <v>171</v>
      </c>
      <c r="M54" s="149">
        <v>8682</v>
      </c>
      <c r="N54" s="189">
        <v>8682</v>
      </c>
      <c r="O54" s="202">
        <v>8677</v>
      </c>
      <c r="P54" s="182">
        <v>0</v>
      </c>
      <c r="Q54" s="182">
        <v>0</v>
      </c>
      <c r="R54" s="190">
        <v>5</v>
      </c>
      <c r="S54" s="159">
        <v>34708</v>
      </c>
      <c r="T54" s="63" t="s">
        <v>172</v>
      </c>
      <c r="U54" s="22">
        <f t="shared" ref="U54:U60" si="4">S54*4.29</f>
        <v>148897.32</v>
      </c>
      <c r="V54" s="20">
        <v>46031</v>
      </c>
      <c r="W54" s="23"/>
      <c r="X54" s="117"/>
      <c r="Y54" s="117"/>
      <c r="Z54" s="24"/>
      <c r="AA54" s="117"/>
      <c r="AB54" s="117"/>
      <c r="AC54" s="117"/>
      <c r="AD54" s="117"/>
    </row>
    <row r="55" spans="1:50" ht="22.5" customHeight="1">
      <c r="A55" s="61">
        <v>33</v>
      </c>
      <c r="B55" s="17" t="s">
        <v>88</v>
      </c>
      <c r="C55" s="61" t="s">
        <v>169</v>
      </c>
      <c r="D55" s="62">
        <v>45988</v>
      </c>
      <c r="E55" s="63" t="s">
        <v>127</v>
      </c>
      <c r="F55" s="64">
        <v>45992</v>
      </c>
      <c r="G55" s="62">
        <v>45994</v>
      </c>
      <c r="H55" s="63" t="s">
        <v>173</v>
      </c>
      <c r="I55" s="63" t="s">
        <v>0</v>
      </c>
      <c r="J55" s="65">
        <v>46002</v>
      </c>
      <c r="K55" s="63" t="s">
        <v>13</v>
      </c>
      <c r="L55" s="4" t="s">
        <v>171</v>
      </c>
      <c r="M55" s="149">
        <v>8682</v>
      </c>
      <c r="N55" s="189">
        <v>8682</v>
      </c>
      <c r="O55" s="202">
        <v>8677</v>
      </c>
      <c r="P55" s="182">
        <v>0</v>
      </c>
      <c r="Q55" s="182">
        <v>0</v>
      </c>
      <c r="R55" s="190">
        <v>5</v>
      </c>
      <c r="S55" s="159">
        <v>26031</v>
      </c>
      <c r="T55" s="63" t="s">
        <v>172</v>
      </c>
      <c r="U55" s="22">
        <f t="shared" si="4"/>
        <v>111672.99</v>
      </c>
      <c r="V55" s="20">
        <v>46031</v>
      </c>
      <c r="W55" s="23"/>
      <c r="X55" s="117"/>
      <c r="Y55" s="117"/>
      <c r="Z55" s="24"/>
      <c r="AA55" s="117"/>
      <c r="AB55" s="117"/>
      <c r="AC55" s="117"/>
      <c r="AD55" s="117"/>
    </row>
    <row r="56" spans="1:50" ht="22.5" customHeight="1">
      <c r="A56" s="61">
        <v>33</v>
      </c>
      <c r="B56" s="17" t="s">
        <v>88</v>
      </c>
      <c r="C56" s="61" t="s">
        <v>169</v>
      </c>
      <c r="D56" s="62">
        <v>45988</v>
      </c>
      <c r="E56" s="63" t="s">
        <v>127</v>
      </c>
      <c r="F56" s="64">
        <v>46001</v>
      </c>
      <c r="G56" s="62">
        <v>46003</v>
      </c>
      <c r="H56" s="63" t="s">
        <v>174</v>
      </c>
      <c r="I56" s="63" t="s">
        <v>0</v>
      </c>
      <c r="J56" s="65">
        <v>46006</v>
      </c>
      <c r="K56" s="63" t="s">
        <v>13</v>
      </c>
      <c r="L56" s="4" t="s">
        <v>171</v>
      </c>
      <c r="M56" s="149">
        <v>2313</v>
      </c>
      <c r="N56" s="189">
        <v>2313</v>
      </c>
      <c r="O56" s="202">
        <v>2296</v>
      </c>
      <c r="P56" s="182">
        <v>0</v>
      </c>
      <c r="Q56" s="203">
        <v>15</v>
      </c>
      <c r="R56" s="190">
        <v>2</v>
      </c>
      <c r="S56" s="159">
        <v>13776</v>
      </c>
      <c r="T56" s="63" t="s">
        <v>175</v>
      </c>
      <c r="U56" s="22">
        <f t="shared" si="4"/>
        <v>59099.040000000001</v>
      </c>
      <c r="V56" s="20">
        <v>46031</v>
      </c>
      <c r="W56" s="23"/>
      <c r="X56" s="117"/>
      <c r="Y56" s="117"/>
      <c r="Z56" s="24"/>
      <c r="AA56" s="117"/>
      <c r="AB56" s="117"/>
      <c r="AC56" s="117"/>
      <c r="AD56" s="117"/>
    </row>
    <row r="57" spans="1:50" ht="22.5" customHeight="1">
      <c r="A57" s="61">
        <v>33</v>
      </c>
      <c r="B57" s="17" t="s">
        <v>88</v>
      </c>
      <c r="C57" s="61" t="s">
        <v>169</v>
      </c>
      <c r="D57" s="62">
        <v>45988</v>
      </c>
      <c r="E57" s="63" t="s">
        <v>127</v>
      </c>
      <c r="F57" s="64">
        <v>46001</v>
      </c>
      <c r="G57" s="62">
        <v>46003</v>
      </c>
      <c r="H57" s="63" t="s">
        <v>176</v>
      </c>
      <c r="I57" s="63" t="s">
        <v>0</v>
      </c>
      <c r="J57" s="65">
        <v>46006</v>
      </c>
      <c r="K57" s="63" t="s">
        <v>13</v>
      </c>
      <c r="L57" s="4" t="s">
        <v>171</v>
      </c>
      <c r="M57" s="149">
        <v>8693</v>
      </c>
      <c r="N57" s="189">
        <v>8693</v>
      </c>
      <c r="O57" s="202">
        <v>8587</v>
      </c>
      <c r="P57" s="182">
        <v>0</v>
      </c>
      <c r="Q57" s="203">
        <v>102</v>
      </c>
      <c r="R57" s="190">
        <v>4</v>
      </c>
      <c r="S57" s="159">
        <v>60109</v>
      </c>
      <c r="T57" s="63" t="s">
        <v>177</v>
      </c>
      <c r="U57" s="22">
        <f t="shared" si="4"/>
        <v>257867.61000000002</v>
      </c>
      <c r="V57" s="20">
        <v>46031</v>
      </c>
      <c r="W57" s="23"/>
      <c r="X57" s="117"/>
      <c r="Y57" s="117"/>
      <c r="Z57" s="24"/>
      <c r="AA57" s="117"/>
      <c r="AB57" s="117"/>
      <c r="AC57" s="117"/>
      <c r="AD57" s="117"/>
    </row>
    <row r="58" spans="1:50" ht="22.5" customHeight="1">
      <c r="A58" s="61">
        <v>33</v>
      </c>
      <c r="B58" s="17" t="s">
        <v>88</v>
      </c>
      <c r="C58" s="61" t="s">
        <v>169</v>
      </c>
      <c r="D58" s="62">
        <v>45988</v>
      </c>
      <c r="E58" s="63" t="s">
        <v>127</v>
      </c>
      <c r="F58" s="64">
        <v>46001</v>
      </c>
      <c r="G58" s="62">
        <v>46004</v>
      </c>
      <c r="H58" s="63" t="s">
        <v>176</v>
      </c>
      <c r="I58" s="63" t="s">
        <v>0</v>
      </c>
      <c r="J58" s="65">
        <v>46006</v>
      </c>
      <c r="K58" s="63" t="s">
        <v>13</v>
      </c>
      <c r="L58" s="4" t="s">
        <v>171</v>
      </c>
      <c r="M58" s="149">
        <v>8693</v>
      </c>
      <c r="N58" s="189">
        <v>8693</v>
      </c>
      <c r="O58" s="202">
        <v>8587</v>
      </c>
      <c r="P58" s="182">
        <v>0</v>
      </c>
      <c r="Q58" s="203">
        <v>102</v>
      </c>
      <c r="R58" s="190">
        <v>4</v>
      </c>
      <c r="S58" s="159">
        <v>60109</v>
      </c>
      <c r="T58" s="63" t="s">
        <v>177</v>
      </c>
      <c r="U58" s="22">
        <f t="shared" si="4"/>
        <v>257867.61000000002</v>
      </c>
      <c r="V58" s="20">
        <v>46031</v>
      </c>
      <c r="W58" s="23"/>
      <c r="X58" s="117"/>
      <c r="Y58" s="117"/>
      <c r="Z58" s="24"/>
      <c r="AA58" s="117"/>
      <c r="AB58" s="117"/>
      <c r="AC58" s="117"/>
      <c r="AD58" s="117"/>
    </row>
    <row r="59" spans="1:50" ht="22.5" customHeight="1">
      <c r="A59" s="61">
        <v>34</v>
      </c>
      <c r="B59" s="63" t="s">
        <v>178</v>
      </c>
      <c r="C59" s="61" t="s">
        <v>179</v>
      </c>
      <c r="D59" s="62">
        <v>46006</v>
      </c>
      <c r="E59" s="63" t="s">
        <v>166</v>
      </c>
      <c r="F59" s="64">
        <v>46006</v>
      </c>
      <c r="G59" s="62">
        <v>46008</v>
      </c>
      <c r="H59" s="63" t="s">
        <v>180</v>
      </c>
      <c r="I59" s="63" t="s">
        <v>0</v>
      </c>
      <c r="J59" s="65" t="s">
        <v>181</v>
      </c>
      <c r="K59" s="63" t="s">
        <v>13</v>
      </c>
      <c r="L59" s="4" t="s">
        <v>182</v>
      </c>
      <c r="M59" s="154">
        <v>772</v>
      </c>
      <c r="N59" s="189">
        <v>770</v>
      </c>
      <c r="O59" s="203">
        <v>770</v>
      </c>
      <c r="P59" s="182">
        <v>0</v>
      </c>
      <c r="Q59" s="203">
        <v>0</v>
      </c>
      <c r="R59" s="190">
        <v>0</v>
      </c>
      <c r="S59" s="159">
        <v>3080</v>
      </c>
      <c r="T59" s="74">
        <v>1</v>
      </c>
      <c r="U59" s="22">
        <f t="shared" si="4"/>
        <v>13213.2</v>
      </c>
      <c r="V59" s="20">
        <v>46006</v>
      </c>
      <c r="W59" s="23"/>
      <c r="X59" s="117"/>
      <c r="Y59" s="117"/>
      <c r="Z59" s="24"/>
      <c r="AA59" s="117"/>
      <c r="AB59" s="117"/>
      <c r="AC59" s="117"/>
      <c r="AD59" s="117"/>
    </row>
    <row r="60" spans="1:50" ht="22.5" customHeight="1">
      <c r="A60" s="61">
        <v>34</v>
      </c>
      <c r="B60" s="63" t="s">
        <v>178</v>
      </c>
      <c r="C60" s="61" t="s">
        <v>179</v>
      </c>
      <c r="D60" s="62">
        <v>46006</v>
      </c>
      <c r="E60" s="63" t="s">
        <v>166</v>
      </c>
      <c r="F60" s="64">
        <v>46006</v>
      </c>
      <c r="G60" s="62">
        <v>46008</v>
      </c>
      <c r="H60" s="63" t="s">
        <v>183</v>
      </c>
      <c r="I60" s="63" t="s">
        <v>0</v>
      </c>
      <c r="J60" s="65" t="s">
        <v>181</v>
      </c>
      <c r="K60" s="63" t="s">
        <v>13</v>
      </c>
      <c r="L60" s="4" t="s">
        <v>182</v>
      </c>
      <c r="M60" s="154">
        <v>612</v>
      </c>
      <c r="N60" s="189">
        <v>610</v>
      </c>
      <c r="O60" s="203">
        <v>610</v>
      </c>
      <c r="P60" s="182">
        <v>0</v>
      </c>
      <c r="Q60" s="203">
        <v>0</v>
      </c>
      <c r="R60" s="190">
        <v>0</v>
      </c>
      <c r="S60" s="159">
        <v>3050</v>
      </c>
      <c r="T60" s="63">
        <v>0.99839999999999995</v>
      </c>
      <c r="U60" s="22">
        <f t="shared" si="4"/>
        <v>13084.5</v>
      </c>
      <c r="V60" s="20">
        <v>46006</v>
      </c>
      <c r="W60" s="23"/>
      <c r="X60" s="117"/>
      <c r="Y60" s="117"/>
      <c r="Z60" s="24"/>
      <c r="AA60" s="117"/>
      <c r="AB60" s="117"/>
      <c r="AC60" s="117"/>
      <c r="AD60" s="117"/>
    </row>
    <row r="61" spans="1:50" ht="22.5" customHeight="1">
      <c r="A61" s="61">
        <v>35</v>
      </c>
      <c r="B61" s="17" t="s">
        <v>52</v>
      </c>
      <c r="C61" s="61" t="s">
        <v>184</v>
      </c>
      <c r="D61" s="62">
        <v>45995</v>
      </c>
      <c r="E61" s="63" t="s">
        <v>166</v>
      </c>
      <c r="F61" s="64">
        <v>45995</v>
      </c>
      <c r="G61" s="62">
        <v>45996</v>
      </c>
      <c r="H61" s="4" t="s">
        <v>185</v>
      </c>
      <c r="I61" s="63" t="s">
        <v>2</v>
      </c>
      <c r="J61" s="65">
        <v>46002</v>
      </c>
      <c r="K61" s="63" t="s">
        <v>13</v>
      </c>
      <c r="L61" s="4" t="s">
        <v>186</v>
      </c>
      <c r="M61" s="149">
        <v>21802</v>
      </c>
      <c r="N61" s="184">
        <v>21189</v>
      </c>
      <c r="O61" s="203">
        <v>18053</v>
      </c>
      <c r="P61" s="182">
        <v>48</v>
      </c>
      <c r="Q61" s="203">
        <v>341</v>
      </c>
      <c r="R61" s="188">
        <v>2747</v>
      </c>
      <c r="S61" s="159">
        <v>18053</v>
      </c>
      <c r="T61" s="63">
        <v>0.85199999999999998</v>
      </c>
      <c r="U61" s="22">
        <f>S61*1.61</f>
        <v>29065.33</v>
      </c>
      <c r="V61" s="20">
        <v>46004</v>
      </c>
      <c r="W61" s="23"/>
      <c r="X61" s="117"/>
      <c r="Y61" s="117"/>
      <c r="Z61" s="24"/>
      <c r="AA61" s="117"/>
      <c r="AB61" s="117"/>
      <c r="AC61" s="117"/>
      <c r="AD61" s="117"/>
    </row>
    <row r="62" spans="1:50" ht="22.5" customHeight="1">
      <c r="A62" s="61">
        <v>35</v>
      </c>
      <c r="B62" s="17" t="s">
        <v>52</v>
      </c>
      <c r="C62" s="61" t="s">
        <v>184</v>
      </c>
      <c r="D62" s="62">
        <v>45995</v>
      </c>
      <c r="E62" s="63" t="s">
        <v>166</v>
      </c>
      <c r="F62" s="64">
        <v>45995</v>
      </c>
      <c r="G62" s="62">
        <v>45999</v>
      </c>
      <c r="H62" s="4" t="s">
        <v>185</v>
      </c>
      <c r="I62" s="63" t="s">
        <v>2</v>
      </c>
      <c r="J62" s="65">
        <v>46002</v>
      </c>
      <c r="K62" s="63" t="s">
        <v>13</v>
      </c>
      <c r="L62" s="4" t="s">
        <v>186</v>
      </c>
      <c r="M62" s="149">
        <v>21802</v>
      </c>
      <c r="N62" s="184">
        <v>21189</v>
      </c>
      <c r="O62" s="203">
        <v>18027</v>
      </c>
      <c r="P62" s="182">
        <v>52</v>
      </c>
      <c r="Q62" s="203">
        <v>354</v>
      </c>
      <c r="R62" s="188">
        <v>2756</v>
      </c>
      <c r="S62" s="159">
        <v>18027</v>
      </c>
      <c r="T62" s="63">
        <v>0.8508</v>
      </c>
      <c r="U62" s="22">
        <f t="shared" ref="U62:U63" si="5">S62*1.61</f>
        <v>29023.47</v>
      </c>
      <c r="V62" s="20">
        <v>46004</v>
      </c>
      <c r="W62" s="23"/>
      <c r="X62" s="117"/>
      <c r="Y62" s="117"/>
      <c r="Z62" s="24"/>
      <c r="AA62" s="117"/>
      <c r="AB62" s="117"/>
      <c r="AC62" s="117"/>
      <c r="AD62" s="117"/>
    </row>
    <row r="63" spans="1:50" ht="22.5" customHeight="1">
      <c r="A63" s="61">
        <v>35</v>
      </c>
      <c r="B63" s="17" t="s">
        <v>52</v>
      </c>
      <c r="C63" s="61" t="s">
        <v>184</v>
      </c>
      <c r="D63" s="62">
        <v>45995</v>
      </c>
      <c r="E63" s="63" t="s">
        <v>166</v>
      </c>
      <c r="F63" s="64">
        <v>45995</v>
      </c>
      <c r="G63" s="62">
        <v>46001</v>
      </c>
      <c r="H63" s="4" t="s">
        <v>185</v>
      </c>
      <c r="I63" s="63" t="s">
        <v>2</v>
      </c>
      <c r="J63" s="65">
        <v>46002</v>
      </c>
      <c r="K63" s="63" t="s">
        <v>13</v>
      </c>
      <c r="L63" s="4" t="s">
        <v>186</v>
      </c>
      <c r="M63" s="149">
        <v>21802</v>
      </c>
      <c r="N63" s="184">
        <v>21189</v>
      </c>
      <c r="O63" s="203">
        <v>18019</v>
      </c>
      <c r="P63" s="182">
        <v>45</v>
      </c>
      <c r="Q63" s="203">
        <v>364</v>
      </c>
      <c r="R63" s="188">
        <v>2761</v>
      </c>
      <c r="S63" s="159">
        <v>18019</v>
      </c>
      <c r="T63" s="63">
        <v>0.85040000000000004</v>
      </c>
      <c r="U63" s="22">
        <f t="shared" si="5"/>
        <v>29010.59</v>
      </c>
      <c r="V63" s="20">
        <v>46004</v>
      </c>
      <c r="W63" s="23"/>
      <c r="X63" s="117"/>
      <c r="Y63" s="117"/>
      <c r="Z63" s="24"/>
      <c r="AA63" s="117"/>
      <c r="AB63" s="117"/>
      <c r="AC63" s="117"/>
      <c r="AD63" s="117"/>
    </row>
    <row r="64" spans="1:50" ht="22.5" customHeight="1">
      <c r="A64" s="61">
        <v>36</v>
      </c>
      <c r="B64" s="17" t="s">
        <v>42</v>
      </c>
      <c r="C64" s="61" t="s">
        <v>187</v>
      </c>
      <c r="D64" s="62">
        <v>46002</v>
      </c>
      <c r="E64" s="63" t="s">
        <v>166</v>
      </c>
      <c r="F64" s="64">
        <v>46006</v>
      </c>
      <c r="G64" s="62">
        <v>46006</v>
      </c>
      <c r="H64" s="61" t="s">
        <v>188</v>
      </c>
      <c r="I64" s="63" t="s">
        <v>0</v>
      </c>
      <c r="J64" s="65">
        <v>46007</v>
      </c>
      <c r="K64" s="63" t="s">
        <v>13</v>
      </c>
      <c r="L64" s="4" t="s">
        <v>189</v>
      </c>
      <c r="M64" s="149">
        <v>3555</v>
      </c>
      <c r="N64" s="184">
        <v>3555</v>
      </c>
      <c r="O64" s="203">
        <v>3550</v>
      </c>
      <c r="P64" s="182">
        <v>2</v>
      </c>
      <c r="Q64" s="203">
        <v>0</v>
      </c>
      <c r="R64" s="190">
        <v>3</v>
      </c>
      <c r="S64" s="159">
        <v>17750</v>
      </c>
      <c r="T64" s="63" t="s">
        <v>190</v>
      </c>
      <c r="U64" s="22">
        <f>S64*4.29</f>
        <v>76147.5</v>
      </c>
      <c r="V64" s="20">
        <v>46028</v>
      </c>
      <c r="W64" s="23"/>
      <c r="X64" s="117"/>
      <c r="Y64" s="117"/>
      <c r="Z64" s="24"/>
      <c r="AA64" s="117"/>
      <c r="AB64" s="117"/>
      <c r="AC64" s="117"/>
      <c r="AD64" s="117"/>
    </row>
    <row r="65" spans="1:30" ht="22.5" customHeight="1">
      <c r="A65" s="61">
        <v>36</v>
      </c>
      <c r="B65" s="17" t="s">
        <v>42</v>
      </c>
      <c r="C65" s="61" t="s">
        <v>187</v>
      </c>
      <c r="D65" s="62">
        <v>46002</v>
      </c>
      <c r="E65" s="63" t="s">
        <v>166</v>
      </c>
      <c r="F65" s="64">
        <v>46006</v>
      </c>
      <c r="G65" s="62">
        <v>46006</v>
      </c>
      <c r="H65" s="4" t="s">
        <v>191</v>
      </c>
      <c r="I65" s="63" t="s">
        <v>2</v>
      </c>
      <c r="J65" s="65">
        <v>46007</v>
      </c>
      <c r="K65" s="63" t="s">
        <v>13</v>
      </c>
      <c r="L65" s="4" t="s">
        <v>192</v>
      </c>
      <c r="M65" s="149">
        <v>3398</v>
      </c>
      <c r="N65" s="184">
        <v>3398</v>
      </c>
      <c r="O65" s="203">
        <v>2830</v>
      </c>
      <c r="P65" s="182">
        <v>73</v>
      </c>
      <c r="Q65" s="203">
        <v>6</v>
      </c>
      <c r="R65" s="190">
        <v>489</v>
      </c>
      <c r="S65" s="159">
        <v>2830</v>
      </c>
      <c r="T65" s="63">
        <v>0.83330000000000004</v>
      </c>
      <c r="U65" s="22">
        <f>S65*1.61</f>
        <v>4556.3</v>
      </c>
      <c r="V65" s="20">
        <v>46028</v>
      </c>
      <c r="W65" s="23"/>
      <c r="X65" s="117"/>
      <c r="Y65" s="117"/>
      <c r="Z65" s="24"/>
      <c r="AA65" s="117"/>
      <c r="AB65" s="117"/>
      <c r="AC65" s="117"/>
      <c r="AD65" s="117"/>
    </row>
    <row r="66" spans="1:30" ht="22.5" customHeight="1">
      <c r="A66" s="61">
        <v>37</v>
      </c>
      <c r="B66" s="17" t="s">
        <v>42</v>
      </c>
      <c r="C66" s="61" t="s">
        <v>193</v>
      </c>
      <c r="D66" s="62">
        <v>46002</v>
      </c>
      <c r="E66" s="63" t="s">
        <v>166</v>
      </c>
      <c r="F66" s="64">
        <v>46006</v>
      </c>
      <c r="G66" s="62">
        <v>46006</v>
      </c>
      <c r="H66" s="61" t="s">
        <v>194</v>
      </c>
      <c r="I66" s="63" t="s">
        <v>0</v>
      </c>
      <c r="J66" s="65">
        <v>46009</v>
      </c>
      <c r="K66" s="63" t="s">
        <v>13</v>
      </c>
      <c r="L66" s="4" t="s">
        <v>195</v>
      </c>
      <c r="M66" s="159">
        <v>106</v>
      </c>
      <c r="N66" s="189">
        <v>106</v>
      </c>
      <c r="O66" s="203">
        <v>106</v>
      </c>
      <c r="P66" s="182">
        <v>0</v>
      </c>
      <c r="Q66" s="203">
        <v>0</v>
      </c>
      <c r="R66" s="190">
        <v>0</v>
      </c>
      <c r="S66" s="159">
        <v>530</v>
      </c>
      <c r="T66" s="74">
        <v>1</v>
      </c>
      <c r="U66" s="22">
        <f>S66*4.29</f>
        <v>2273.6999999999998</v>
      </c>
      <c r="V66" s="20">
        <v>46029</v>
      </c>
      <c r="W66" s="23"/>
      <c r="X66" s="117"/>
      <c r="Y66" s="117"/>
      <c r="Z66" s="24"/>
      <c r="AA66" s="117"/>
      <c r="AB66" s="117"/>
      <c r="AC66" s="117"/>
      <c r="AD66" s="117"/>
    </row>
    <row r="67" spans="1:30" ht="22.5" customHeight="1">
      <c r="A67" s="61">
        <v>37</v>
      </c>
      <c r="B67" s="17" t="s">
        <v>42</v>
      </c>
      <c r="C67" s="61" t="s">
        <v>193</v>
      </c>
      <c r="D67" s="62">
        <v>46002</v>
      </c>
      <c r="E67" s="63" t="s">
        <v>166</v>
      </c>
      <c r="F67" s="64">
        <v>46006</v>
      </c>
      <c r="G67" s="62">
        <v>46008</v>
      </c>
      <c r="H67" s="61" t="s">
        <v>194</v>
      </c>
      <c r="I67" s="63" t="s">
        <v>0</v>
      </c>
      <c r="J67" s="65">
        <v>46009</v>
      </c>
      <c r="K67" s="63" t="s">
        <v>13</v>
      </c>
      <c r="L67" s="4" t="s">
        <v>195</v>
      </c>
      <c r="M67" s="159">
        <v>106</v>
      </c>
      <c r="N67" s="189">
        <v>106</v>
      </c>
      <c r="O67" s="203">
        <v>106</v>
      </c>
      <c r="P67" s="182">
        <v>0</v>
      </c>
      <c r="Q67" s="203">
        <v>0</v>
      </c>
      <c r="R67" s="190">
        <v>0</v>
      </c>
      <c r="S67" s="159">
        <v>530</v>
      </c>
      <c r="T67" s="74">
        <v>1</v>
      </c>
      <c r="U67" s="22">
        <f>S67*4.29</f>
        <v>2273.6999999999998</v>
      </c>
      <c r="V67" s="20">
        <v>46029</v>
      </c>
      <c r="W67" s="23"/>
      <c r="X67" s="117"/>
      <c r="Y67" s="117"/>
      <c r="Z67" s="24"/>
      <c r="AA67" s="117"/>
      <c r="AB67" s="117"/>
      <c r="AC67" s="117"/>
      <c r="AD67" s="117"/>
    </row>
    <row r="68" spans="1:30" ht="22.5" customHeight="1">
      <c r="A68" s="61">
        <v>37</v>
      </c>
      <c r="B68" s="17" t="s">
        <v>42</v>
      </c>
      <c r="C68" s="61" t="s">
        <v>193</v>
      </c>
      <c r="D68" s="62">
        <v>46002</v>
      </c>
      <c r="E68" s="63" t="s">
        <v>166</v>
      </c>
      <c r="F68" s="64">
        <v>46006</v>
      </c>
      <c r="G68" s="62">
        <v>46007</v>
      </c>
      <c r="H68" s="4" t="s">
        <v>196</v>
      </c>
      <c r="I68" s="63" t="s">
        <v>2</v>
      </c>
      <c r="J68" s="65">
        <v>46009</v>
      </c>
      <c r="K68" s="63" t="s">
        <v>13</v>
      </c>
      <c r="L68" s="4" t="s">
        <v>195</v>
      </c>
      <c r="M68" s="154">
        <v>79</v>
      </c>
      <c r="N68" s="189">
        <v>79</v>
      </c>
      <c r="O68" s="203">
        <v>63</v>
      </c>
      <c r="P68" s="182">
        <v>0</v>
      </c>
      <c r="Q68" s="203">
        <v>0</v>
      </c>
      <c r="R68" s="190">
        <v>16</v>
      </c>
      <c r="S68" s="159">
        <v>63</v>
      </c>
      <c r="T68" s="63" t="s">
        <v>197</v>
      </c>
      <c r="U68" s="22">
        <f>S68*1.61</f>
        <v>101.43</v>
      </c>
      <c r="V68" s="20">
        <v>46029</v>
      </c>
      <c r="W68" s="23"/>
      <c r="X68" s="117"/>
      <c r="Y68" s="117"/>
      <c r="Z68" s="24"/>
      <c r="AA68" s="117"/>
      <c r="AB68" s="117"/>
      <c r="AC68" s="117"/>
      <c r="AD68" s="117"/>
    </row>
    <row r="69" spans="1:30" ht="22.5" customHeight="1">
      <c r="A69" s="61">
        <v>37</v>
      </c>
      <c r="B69" s="17" t="s">
        <v>42</v>
      </c>
      <c r="C69" s="61" t="s">
        <v>193</v>
      </c>
      <c r="D69" s="62">
        <v>46002</v>
      </c>
      <c r="E69" s="63" t="s">
        <v>166</v>
      </c>
      <c r="F69" s="64">
        <v>46006</v>
      </c>
      <c r="G69" s="62">
        <v>46008</v>
      </c>
      <c r="H69" s="75" t="s">
        <v>196</v>
      </c>
      <c r="I69" s="63" t="s">
        <v>2</v>
      </c>
      <c r="J69" s="65">
        <v>46009</v>
      </c>
      <c r="K69" s="63" t="s">
        <v>13</v>
      </c>
      <c r="L69" s="4" t="s">
        <v>195</v>
      </c>
      <c r="M69" s="154">
        <v>79</v>
      </c>
      <c r="N69" s="189">
        <v>79</v>
      </c>
      <c r="O69" s="203">
        <v>63</v>
      </c>
      <c r="P69" s="182">
        <v>0</v>
      </c>
      <c r="Q69" s="203">
        <v>0</v>
      </c>
      <c r="R69" s="190">
        <v>16</v>
      </c>
      <c r="S69" s="159">
        <v>63</v>
      </c>
      <c r="T69" s="63" t="s">
        <v>197</v>
      </c>
      <c r="U69" s="22">
        <f>S69*1.61</f>
        <v>101.43</v>
      </c>
      <c r="V69" s="20">
        <v>46029</v>
      </c>
      <c r="W69" s="23"/>
      <c r="X69" s="117"/>
      <c r="Y69" s="117"/>
      <c r="Z69" s="24"/>
      <c r="AA69" s="117"/>
      <c r="AB69" s="117"/>
      <c r="AC69" s="117"/>
      <c r="AD69" s="117"/>
    </row>
    <row r="70" spans="1:30" ht="22.5" customHeight="1">
      <c r="A70" s="61">
        <v>38</v>
      </c>
      <c r="B70" s="17" t="s">
        <v>42</v>
      </c>
      <c r="C70" s="61" t="s">
        <v>198</v>
      </c>
      <c r="D70" s="62">
        <v>46007</v>
      </c>
      <c r="E70" s="63" t="s">
        <v>166</v>
      </c>
      <c r="F70" s="62">
        <v>46008</v>
      </c>
      <c r="G70" s="64">
        <v>46009</v>
      </c>
      <c r="H70" s="61" t="s">
        <v>199</v>
      </c>
      <c r="I70" s="76" t="s">
        <v>0</v>
      </c>
      <c r="J70" s="65">
        <v>46010</v>
      </c>
      <c r="K70" s="77" t="s">
        <v>13</v>
      </c>
      <c r="L70" s="78" t="s">
        <v>200</v>
      </c>
      <c r="M70" s="149">
        <v>2037</v>
      </c>
      <c r="N70" s="184">
        <v>2037</v>
      </c>
      <c r="O70" s="203">
        <v>2033</v>
      </c>
      <c r="P70" s="182">
        <v>0</v>
      </c>
      <c r="Q70" s="203">
        <v>0</v>
      </c>
      <c r="R70" s="190">
        <v>4</v>
      </c>
      <c r="S70" s="159">
        <v>10165</v>
      </c>
      <c r="T70" s="63" t="s">
        <v>201</v>
      </c>
      <c r="U70" s="22">
        <f>S70*4.29</f>
        <v>43607.85</v>
      </c>
      <c r="V70" s="20">
        <v>46031</v>
      </c>
      <c r="W70" s="79"/>
      <c r="X70" s="117"/>
      <c r="Y70" s="117"/>
      <c r="Z70" s="24"/>
      <c r="AA70" s="117"/>
      <c r="AB70" s="117"/>
      <c r="AC70" s="117"/>
      <c r="AD70" s="117"/>
    </row>
    <row r="71" spans="1:30" ht="22.5" customHeight="1">
      <c r="A71" s="61">
        <v>38</v>
      </c>
      <c r="B71" s="17" t="s">
        <v>42</v>
      </c>
      <c r="C71" s="61" t="s">
        <v>198</v>
      </c>
      <c r="D71" s="62">
        <v>46007</v>
      </c>
      <c r="E71" s="63" t="s">
        <v>166</v>
      </c>
      <c r="F71" s="62">
        <v>46008</v>
      </c>
      <c r="G71" s="64">
        <v>46010</v>
      </c>
      <c r="H71" s="61" t="s">
        <v>199</v>
      </c>
      <c r="I71" s="76" t="s">
        <v>0</v>
      </c>
      <c r="J71" s="65">
        <v>46010</v>
      </c>
      <c r="K71" s="77" t="s">
        <v>13</v>
      </c>
      <c r="L71" s="78" t="s">
        <v>200</v>
      </c>
      <c r="M71" s="149">
        <v>2037</v>
      </c>
      <c r="N71" s="184">
        <v>2037</v>
      </c>
      <c r="O71" s="203">
        <v>2033</v>
      </c>
      <c r="P71" s="182">
        <v>0</v>
      </c>
      <c r="Q71" s="203">
        <v>0</v>
      </c>
      <c r="R71" s="190">
        <v>4</v>
      </c>
      <c r="S71" s="159">
        <v>10165</v>
      </c>
      <c r="T71" s="63" t="s">
        <v>201</v>
      </c>
      <c r="U71" s="22">
        <f>S71*4.29</f>
        <v>43607.85</v>
      </c>
      <c r="V71" s="20">
        <v>46031</v>
      </c>
      <c r="W71" s="16"/>
      <c r="X71" s="117"/>
      <c r="Y71" s="117"/>
      <c r="Z71" s="24"/>
      <c r="AA71" s="117"/>
      <c r="AB71" s="117"/>
      <c r="AC71" s="117"/>
      <c r="AD71" s="117"/>
    </row>
    <row r="72" spans="1:30" ht="22.5" customHeight="1">
      <c r="A72" s="61">
        <v>38</v>
      </c>
      <c r="B72" s="17" t="s">
        <v>42</v>
      </c>
      <c r="C72" s="61" t="s">
        <v>198</v>
      </c>
      <c r="D72" s="62">
        <v>46007</v>
      </c>
      <c r="E72" s="63" t="s">
        <v>166</v>
      </c>
      <c r="F72" s="62">
        <v>46008</v>
      </c>
      <c r="G72" s="64">
        <v>46009</v>
      </c>
      <c r="H72" s="4" t="s">
        <v>202</v>
      </c>
      <c r="I72" s="76" t="s">
        <v>2</v>
      </c>
      <c r="J72" s="65">
        <v>46010</v>
      </c>
      <c r="K72" s="77" t="s">
        <v>13</v>
      </c>
      <c r="L72" s="4" t="s">
        <v>203</v>
      </c>
      <c r="M72" s="149">
        <v>1655</v>
      </c>
      <c r="N72" s="184">
        <v>1655</v>
      </c>
      <c r="O72" s="203">
        <v>1403</v>
      </c>
      <c r="P72" s="182">
        <v>2</v>
      </c>
      <c r="Q72" s="203">
        <v>8</v>
      </c>
      <c r="R72" s="190">
        <v>242</v>
      </c>
      <c r="S72" s="159">
        <v>1403</v>
      </c>
      <c r="T72" s="63" t="s">
        <v>204</v>
      </c>
      <c r="U72" s="22">
        <f>S72*1.61</f>
        <v>2258.83</v>
      </c>
      <c r="V72" s="20">
        <v>46031</v>
      </c>
      <c r="W72" s="16"/>
      <c r="X72" s="117"/>
      <c r="Y72" s="117"/>
      <c r="Z72" s="24"/>
      <c r="AA72" s="117"/>
      <c r="AB72" s="117"/>
      <c r="AC72" s="117"/>
      <c r="AD72" s="117"/>
    </row>
    <row r="73" spans="1:30" ht="22.5" customHeight="1">
      <c r="A73" s="61">
        <v>39</v>
      </c>
      <c r="B73" s="17" t="s">
        <v>52</v>
      </c>
      <c r="C73" s="61" t="s">
        <v>205</v>
      </c>
      <c r="D73" s="62">
        <v>45989</v>
      </c>
      <c r="E73" s="63" t="s">
        <v>127</v>
      </c>
      <c r="F73" s="62">
        <v>45986</v>
      </c>
      <c r="G73" s="64">
        <v>45987</v>
      </c>
      <c r="H73" s="130" t="s">
        <v>206</v>
      </c>
      <c r="I73" s="81" t="s">
        <v>2</v>
      </c>
      <c r="J73" s="65">
        <v>45996</v>
      </c>
      <c r="K73" s="77" t="s">
        <v>13</v>
      </c>
      <c r="L73" s="4" t="s">
        <v>207</v>
      </c>
      <c r="M73" s="149">
        <v>21189</v>
      </c>
      <c r="N73" s="184">
        <v>21189</v>
      </c>
      <c r="O73" s="203">
        <v>18123</v>
      </c>
      <c r="P73" s="182">
        <v>92</v>
      </c>
      <c r="Q73" s="203">
        <v>282</v>
      </c>
      <c r="R73" s="188">
        <v>2692</v>
      </c>
      <c r="S73" s="159">
        <v>18123</v>
      </c>
      <c r="T73" s="63" t="s">
        <v>208</v>
      </c>
      <c r="U73" s="22">
        <f t="shared" ref="U73:U76" si="6">S73*1.61</f>
        <v>29178.030000000002</v>
      </c>
      <c r="V73" s="20">
        <v>46004</v>
      </c>
      <c r="W73" s="16"/>
      <c r="X73" s="117"/>
      <c r="Y73" s="117"/>
      <c r="Z73" s="24"/>
      <c r="AA73" s="117"/>
      <c r="AB73" s="117"/>
      <c r="AC73" s="117"/>
      <c r="AD73" s="117"/>
    </row>
    <row r="74" spans="1:30" ht="22.5" customHeight="1">
      <c r="A74" s="61">
        <v>39</v>
      </c>
      <c r="B74" s="17" t="s">
        <v>52</v>
      </c>
      <c r="C74" s="61" t="s">
        <v>205</v>
      </c>
      <c r="D74" s="62">
        <v>45989</v>
      </c>
      <c r="E74" s="63" t="s">
        <v>127</v>
      </c>
      <c r="F74" s="62">
        <v>45986</v>
      </c>
      <c r="G74" s="64">
        <v>45989</v>
      </c>
      <c r="H74" s="130" t="s">
        <v>206</v>
      </c>
      <c r="I74" s="81" t="s">
        <v>2</v>
      </c>
      <c r="J74" s="65">
        <v>45996</v>
      </c>
      <c r="K74" s="77" t="s">
        <v>13</v>
      </c>
      <c r="L74" s="4" t="s">
        <v>207</v>
      </c>
      <c r="M74" s="149">
        <v>21189</v>
      </c>
      <c r="N74" s="184">
        <v>21189</v>
      </c>
      <c r="O74" s="203">
        <v>18109</v>
      </c>
      <c r="P74" s="182">
        <v>50</v>
      </c>
      <c r="Q74" s="203">
        <v>296</v>
      </c>
      <c r="R74" s="188">
        <v>2734</v>
      </c>
      <c r="S74" s="159">
        <v>18109</v>
      </c>
      <c r="T74" s="63" t="s">
        <v>209</v>
      </c>
      <c r="U74" s="22">
        <f t="shared" si="6"/>
        <v>29155.49</v>
      </c>
      <c r="V74" s="20">
        <v>46004</v>
      </c>
      <c r="W74" s="16"/>
      <c r="X74" s="117"/>
      <c r="Y74" s="117"/>
      <c r="Z74" s="24"/>
      <c r="AA74" s="117"/>
      <c r="AB74" s="117"/>
      <c r="AC74" s="117"/>
      <c r="AD74" s="117"/>
    </row>
    <row r="75" spans="1:30" ht="22.5" customHeight="1">
      <c r="A75" s="61">
        <v>39</v>
      </c>
      <c r="B75" s="17" t="s">
        <v>52</v>
      </c>
      <c r="C75" s="61" t="s">
        <v>205</v>
      </c>
      <c r="D75" s="62">
        <v>45989</v>
      </c>
      <c r="E75" s="63" t="s">
        <v>127</v>
      </c>
      <c r="F75" s="62">
        <v>45986</v>
      </c>
      <c r="G75" s="64">
        <v>45993</v>
      </c>
      <c r="H75" s="130" t="s">
        <v>210</v>
      </c>
      <c r="I75" s="81" t="s">
        <v>2</v>
      </c>
      <c r="J75" s="65">
        <v>45996</v>
      </c>
      <c r="K75" s="77" t="s">
        <v>13</v>
      </c>
      <c r="L75" s="4" t="s">
        <v>207</v>
      </c>
      <c r="M75" s="149">
        <v>21189</v>
      </c>
      <c r="N75" s="184">
        <v>21189</v>
      </c>
      <c r="O75" s="203">
        <v>18093</v>
      </c>
      <c r="P75" s="182">
        <v>56</v>
      </c>
      <c r="Q75" s="203">
        <v>308</v>
      </c>
      <c r="R75" s="188">
        <v>2732</v>
      </c>
      <c r="S75" s="159">
        <v>18093</v>
      </c>
      <c r="T75" s="63" t="s">
        <v>209</v>
      </c>
      <c r="U75" s="22">
        <f t="shared" si="6"/>
        <v>29129.730000000003</v>
      </c>
      <c r="V75" s="20">
        <v>46004</v>
      </c>
      <c r="W75" s="16"/>
      <c r="X75" s="117"/>
      <c r="Y75" s="117"/>
      <c r="Z75" s="24"/>
      <c r="AA75" s="117"/>
      <c r="AB75" s="117"/>
      <c r="AC75" s="117"/>
      <c r="AD75" s="117"/>
    </row>
    <row r="76" spans="1:30" ht="22.5" customHeight="1">
      <c r="A76" s="61">
        <v>39</v>
      </c>
      <c r="B76" s="17" t="s">
        <v>52</v>
      </c>
      <c r="C76" s="61" t="s">
        <v>205</v>
      </c>
      <c r="D76" s="62">
        <v>45989</v>
      </c>
      <c r="E76" s="63" t="s">
        <v>127</v>
      </c>
      <c r="F76" s="62">
        <v>45986</v>
      </c>
      <c r="G76" s="64">
        <v>45995</v>
      </c>
      <c r="H76" s="130" t="s">
        <v>211</v>
      </c>
      <c r="I76" s="81" t="s">
        <v>2</v>
      </c>
      <c r="J76" s="65">
        <v>45996</v>
      </c>
      <c r="K76" s="77" t="s">
        <v>13</v>
      </c>
      <c r="L76" s="4" t="s">
        <v>207</v>
      </c>
      <c r="M76" s="149">
        <v>21189</v>
      </c>
      <c r="N76" s="184">
        <v>21189</v>
      </c>
      <c r="O76" s="203">
        <v>18079</v>
      </c>
      <c r="P76" s="182">
        <v>71</v>
      </c>
      <c r="Q76" s="203">
        <v>329</v>
      </c>
      <c r="R76" s="188">
        <v>2710</v>
      </c>
      <c r="S76" s="159">
        <v>18079</v>
      </c>
      <c r="T76" s="63" t="s">
        <v>212</v>
      </c>
      <c r="U76" s="22">
        <f t="shared" si="6"/>
        <v>29107.190000000002</v>
      </c>
      <c r="V76" s="20">
        <v>46004</v>
      </c>
      <c r="W76" s="16"/>
      <c r="X76" s="117"/>
      <c r="Y76" s="117"/>
      <c r="Z76" s="24"/>
      <c r="AA76" s="117"/>
      <c r="AB76" s="117"/>
      <c r="AC76" s="117"/>
      <c r="AD76" s="117"/>
    </row>
    <row r="77" spans="1:30" ht="22.5" customHeight="1">
      <c r="A77" s="61">
        <v>40</v>
      </c>
      <c r="B77" s="61" t="s">
        <v>213</v>
      </c>
      <c r="C77" s="61" t="s">
        <v>214</v>
      </c>
      <c r="D77" s="62">
        <v>46042</v>
      </c>
      <c r="E77" s="63" t="s">
        <v>1</v>
      </c>
      <c r="F77" s="62">
        <v>46042</v>
      </c>
      <c r="G77" s="64">
        <v>46043</v>
      </c>
      <c r="H77" s="4" t="s">
        <v>215</v>
      </c>
      <c r="I77" s="81" t="s">
        <v>0</v>
      </c>
      <c r="J77" s="65">
        <v>46048</v>
      </c>
      <c r="K77" s="63" t="s">
        <v>1</v>
      </c>
      <c r="L77" s="4" t="s">
        <v>216</v>
      </c>
      <c r="M77" s="149">
        <v>229475</v>
      </c>
      <c r="N77" s="184">
        <v>229475</v>
      </c>
      <c r="O77" s="203">
        <v>229382</v>
      </c>
      <c r="P77" s="182">
        <v>0</v>
      </c>
      <c r="Q77" s="203">
        <v>0</v>
      </c>
      <c r="R77" s="190">
        <v>93</v>
      </c>
      <c r="S77" s="159">
        <v>229382</v>
      </c>
      <c r="T77" s="74">
        <v>0.99960000000000004</v>
      </c>
      <c r="U77" s="22">
        <f>S77*4.29</f>
        <v>984048.78</v>
      </c>
      <c r="V77" s="20">
        <v>46051</v>
      </c>
      <c r="W77" s="16"/>
      <c r="X77" s="117"/>
      <c r="Y77" s="117"/>
      <c r="Z77" s="24"/>
      <c r="AA77" s="117"/>
      <c r="AB77" s="117"/>
      <c r="AC77" s="117"/>
      <c r="AD77" s="117"/>
    </row>
    <row r="78" spans="1:30" ht="22.5" customHeight="1">
      <c r="A78" s="61">
        <v>40</v>
      </c>
      <c r="B78" s="61" t="s">
        <v>213</v>
      </c>
      <c r="C78" s="61" t="s">
        <v>214</v>
      </c>
      <c r="D78" s="62">
        <v>46042</v>
      </c>
      <c r="E78" s="63" t="s">
        <v>1</v>
      </c>
      <c r="F78" s="62">
        <v>46042</v>
      </c>
      <c r="G78" s="62">
        <v>46044</v>
      </c>
      <c r="H78" s="131" t="s">
        <v>217</v>
      </c>
      <c r="I78" s="63" t="s">
        <v>2</v>
      </c>
      <c r="J78" s="65">
        <v>46053</v>
      </c>
      <c r="K78" s="63" t="s">
        <v>1</v>
      </c>
      <c r="L78" s="4" t="s">
        <v>218</v>
      </c>
      <c r="M78" s="154">
        <v>500</v>
      </c>
      <c r="N78" s="189">
        <v>500</v>
      </c>
      <c r="O78" s="203">
        <v>450</v>
      </c>
      <c r="P78" s="182">
        <v>9</v>
      </c>
      <c r="Q78" s="203">
        <v>3</v>
      </c>
      <c r="R78" s="190">
        <v>38</v>
      </c>
      <c r="S78" s="159">
        <v>450</v>
      </c>
      <c r="T78" s="74">
        <v>1</v>
      </c>
      <c r="U78" s="22">
        <f>S78*1.61</f>
        <v>724.5</v>
      </c>
      <c r="V78" s="20">
        <v>46051</v>
      </c>
      <c r="W78" s="16"/>
      <c r="X78" s="117"/>
      <c r="Y78" s="117"/>
      <c r="Z78" s="24"/>
      <c r="AA78" s="117"/>
      <c r="AB78" s="117"/>
      <c r="AC78" s="117"/>
      <c r="AD78" s="117"/>
    </row>
    <row r="79" spans="1:30" ht="22.5" customHeight="1">
      <c r="A79" s="61">
        <v>40</v>
      </c>
      <c r="B79" s="61" t="s">
        <v>213</v>
      </c>
      <c r="C79" s="61" t="s">
        <v>214</v>
      </c>
      <c r="D79" s="62">
        <v>46042</v>
      </c>
      <c r="E79" s="63" t="s">
        <v>1</v>
      </c>
      <c r="F79" s="62">
        <v>46042</v>
      </c>
      <c r="G79" s="62">
        <v>46049</v>
      </c>
      <c r="H79" s="131" t="s">
        <v>217</v>
      </c>
      <c r="I79" s="63" t="s">
        <v>2</v>
      </c>
      <c r="J79" s="65">
        <v>46053</v>
      </c>
      <c r="K79" s="63" t="s">
        <v>1</v>
      </c>
      <c r="L79" s="4" t="s">
        <v>218</v>
      </c>
      <c r="M79" s="149">
        <v>36142</v>
      </c>
      <c r="N79" s="184">
        <v>36142</v>
      </c>
      <c r="O79" s="203">
        <v>29195</v>
      </c>
      <c r="P79" s="182">
        <v>375</v>
      </c>
      <c r="Q79" s="203">
        <v>118</v>
      </c>
      <c r="R79" s="188">
        <v>6454</v>
      </c>
      <c r="S79" s="159">
        <v>29195</v>
      </c>
      <c r="T79" s="74">
        <v>1</v>
      </c>
      <c r="U79" s="22">
        <f>S79*1.61</f>
        <v>47003.950000000004</v>
      </c>
      <c r="V79" s="20">
        <v>46051</v>
      </c>
      <c r="W79" s="16"/>
      <c r="X79" s="117"/>
      <c r="Y79" s="117"/>
      <c r="Z79" s="24"/>
      <c r="AA79" s="117"/>
      <c r="AB79" s="117"/>
      <c r="AC79" s="117"/>
      <c r="AD79" s="117"/>
    </row>
    <row r="80" spans="1:30" ht="22.5" customHeight="1">
      <c r="A80" s="61">
        <v>41</v>
      </c>
      <c r="B80" s="61" t="s">
        <v>107</v>
      </c>
      <c r="C80" s="61" t="s">
        <v>219</v>
      </c>
      <c r="D80" s="62">
        <v>46063</v>
      </c>
      <c r="E80" s="63" t="s">
        <v>220</v>
      </c>
      <c r="F80" s="62">
        <v>46063</v>
      </c>
      <c r="G80" s="62">
        <v>46064</v>
      </c>
      <c r="H80" s="61" t="s">
        <v>221</v>
      </c>
      <c r="I80" s="63" t="s">
        <v>0</v>
      </c>
      <c r="J80" s="62">
        <v>46064</v>
      </c>
      <c r="K80" s="63" t="s">
        <v>3</v>
      </c>
      <c r="L80" s="4" t="s">
        <v>222</v>
      </c>
      <c r="M80" s="149">
        <v>33959</v>
      </c>
      <c r="N80" s="184">
        <v>33959</v>
      </c>
      <c r="O80" s="181">
        <v>33959</v>
      </c>
      <c r="P80" s="203">
        <v>0</v>
      </c>
      <c r="Q80" s="182">
        <v>0</v>
      </c>
      <c r="R80" s="190">
        <v>0</v>
      </c>
      <c r="S80" s="159">
        <v>139235</v>
      </c>
      <c r="T80" s="74">
        <v>0.99950000000000006</v>
      </c>
      <c r="U80" s="22">
        <f t="shared" ref="U80:U86" si="7">S80*5</f>
        <v>696175</v>
      </c>
      <c r="V80" s="20">
        <v>46070</v>
      </c>
      <c r="W80" s="16"/>
      <c r="X80" s="117"/>
      <c r="Y80" s="117"/>
      <c r="Z80" s="24"/>
      <c r="AA80" s="117"/>
      <c r="AB80" s="117"/>
      <c r="AC80" s="117"/>
      <c r="AD80" s="117"/>
    </row>
    <row r="81" spans="1:30" ht="22.5" customHeight="1">
      <c r="A81" s="61">
        <v>42</v>
      </c>
      <c r="B81" s="61" t="s">
        <v>107</v>
      </c>
      <c r="C81" s="61" t="s">
        <v>223</v>
      </c>
      <c r="D81" s="62">
        <v>46076</v>
      </c>
      <c r="E81" s="63" t="s">
        <v>220</v>
      </c>
      <c r="F81" s="62">
        <v>46076</v>
      </c>
      <c r="G81" s="62">
        <v>46077</v>
      </c>
      <c r="H81" s="61" t="s">
        <v>224</v>
      </c>
      <c r="I81" s="63" t="s">
        <v>0</v>
      </c>
      <c r="J81" s="65" t="s">
        <v>181</v>
      </c>
      <c r="K81" s="63" t="s">
        <v>3</v>
      </c>
      <c r="L81" s="4" t="s">
        <v>225</v>
      </c>
      <c r="M81" s="149">
        <v>2136</v>
      </c>
      <c r="N81" s="184">
        <v>2136</v>
      </c>
      <c r="O81" s="204">
        <v>2114</v>
      </c>
      <c r="P81" s="203">
        <v>0</v>
      </c>
      <c r="Q81" s="182">
        <v>0</v>
      </c>
      <c r="R81" s="190">
        <v>22</v>
      </c>
      <c r="S81" s="159">
        <v>2114</v>
      </c>
      <c r="T81" s="74">
        <v>0.98970000000000002</v>
      </c>
      <c r="U81" s="22">
        <f t="shared" si="7"/>
        <v>10570</v>
      </c>
      <c r="V81" s="20">
        <v>46080</v>
      </c>
      <c r="W81" s="16"/>
      <c r="X81" s="117"/>
      <c r="Y81" s="117"/>
      <c r="Z81" s="24"/>
      <c r="AA81" s="117"/>
      <c r="AB81" s="117"/>
      <c r="AC81" s="117"/>
      <c r="AD81" s="117"/>
    </row>
    <row r="82" spans="1:30" ht="22.5" customHeight="1">
      <c r="A82" s="61">
        <v>43</v>
      </c>
      <c r="B82" s="61" t="s">
        <v>107</v>
      </c>
      <c r="C82" s="61" t="s">
        <v>226</v>
      </c>
      <c r="D82" s="62">
        <v>46090</v>
      </c>
      <c r="E82" s="63" t="s">
        <v>227</v>
      </c>
      <c r="F82" s="62">
        <v>46090</v>
      </c>
      <c r="G82" s="62">
        <v>46091</v>
      </c>
      <c r="H82" s="4" t="s">
        <v>228</v>
      </c>
      <c r="I82" s="63" t="s">
        <v>0</v>
      </c>
      <c r="J82" s="65">
        <v>46095</v>
      </c>
      <c r="K82" s="63" t="s">
        <v>4</v>
      </c>
      <c r="L82" s="4" t="s">
        <v>229</v>
      </c>
      <c r="M82" s="149">
        <v>15619</v>
      </c>
      <c r="N82" s="184">
        <v>15619</v>
      </c>
      <c r="O82" s="204">
        <v>15024</v>
      </c>
      <c r="P82" s="203">
        <v>0</v>
      </c>
      <c r="Q82" s="182">
        <v>0</v>
      </c>
      <c r="R82" s="190">
        <v>595</v>
      </c>
      <c r="S82" s="159">
        <v>15024</v>
      </c>
      <c r="T82" s="74">
        <v>0.9619053716627185</v>
      </c>
      <c r="U82" s="22">
        <f t="shared" si="7"/>
        <v>75120</v>
      </c>
      <c r="V82" s="20">
        <v>46100</v>
      </c>
      <c r="W82" s="16"/>
      <c r="X82" s="117"/>
      <c r="Y82" s="117"/>
      <c r="Z82" s="24"/>
      <c r="AA82" s="117"/>
      <c r="AB82" s="117"/>
      <c r="AC82" s="117"/>
      <c r="AD82" s="117"/>
    </row>
    <row r="83" spans="1:30" ht="22.5" customHeight="1">
      <c r="A83" s="61">
        <v>44</v>
      </c>
      <c r="B83" s="61" t="s">
        <v>230</v>
      </c>
      <c r="C83" s="61" t="s">
        <v>231</v>
      </c>
      <c r="D83" s="62">
        <v>46094</v>
      </c>
      <c r="E83" s="63" t="s">
        <v>227</v>
      </c>
      <c r="F83" s="62">
        <v>46098</v>
      </c>
      <c r="G83" s="62">
        <v>46099</v>
      </c>
      <c r="H83" s="61" t="s">
        <v>232</v>
      </c>
      <c r="I83" s="63" t="s">
        <v>0</v>
      </c>
      <c r="J83" s="65">
        <v>46100</v>
      </c>
      <c r="K83" s="63" t="s">
        <v>4</v>
      </c>
      <c r="L83" s="4" t="s">
        <v>233</v>
      </c>
      <c r="M83" s="149">
        <v>1952</v>
      </c>
      <c r="N83" s="184">
        <v>1952</v>
      </c>
      <c r="O83" s="204">
        <v>1931</v>
      </c>
      <c r="P83" s="203">
        <v>0</v>
      </c>
      <c r="Q83" s="182">
        <v>0</v>
      </c>
      <c r="R83" s="190">
        <v>21</v>
      </c>
      <c r="S83" s="159">
        <v>1931</v>
      </c>
      <c r="T83" s="74">
        <v>0.98924180327868905</v>
      </c>
      <c r="U83" s="22">
        <f t="shared" si="7"/>
        <v>9655</v>
      </c>
      <c r="V83" s="20">
        <v>46112</v>
      </c>
      <c r="W83" s="16"/>
      <c r="X83" s="117"/>
      <c r="Y83" s="117"/>
      <c r="Z83" s="24"/>
      <c r="AA83" s="117"/>
      <c r="AB83" s="117"/>
      <c r="AC83" s="117"/>
      <c r="AD83" s="117"/>
    </row>
    <row r="84" spans="1:30" ht="22.5" customHeight="1">
      <c r="A84" s="61">
        <v>45</v>
      </c>
      <c r="B84" s="17" t="s">
        <v>88</v>
      </c>
      <c r="C84" s="61" t="s">
        <v>234</v>
      </c>
      <c r="D84" s="62">
        <v>46105</v>
      </c>
      <c r="E84" s="63" t="s">
        <v>227</v>
      </c>
      <c r="F84" s="62">
        <v>46105</v>
      </c>
      <c r="G84" s="62">
        <v>46106</v>
      </c>
      <c r="H84" s="61" t="s">
        <v>235</v>
      </c>
      <c r="I84" s="63" t="s">
        <v>0</v>
      </c>
      <c r="J84" s="65">
        <v>46108</v>
      </c>
      <c r="K84" s="63" t="s">
        <v>4</v>
      </c>
      <c r="L84" s="4" t="s">
        <v>236</v>
      </c>
      <c r="M84" s="149">
        <v>11820</v>
      </c>
      <c r="N84" s="184">
        <v>11820</v>
      </c>
      <c r="O84" s="204">
        <v>11563</v>
      </c>
      <c r="P84" s="203">
        <v>0</v>
      </c>
      <c r="Q84" s="182">
        <v>0</v>
      </c>
      <c r="R84" s="190">
        <v>257</v>
      </c>
      <c r="S84" s="159">
        <v>11563</v>
      </c>
      <c r="T84" s="74">
        <v>0.97825719120135368</v>
      </c>
      <c r="U84" s="22">
        <f t="shared" si="7"/>
        <v>57815</v>
      </c>
      <c r="V84" s="20">
        <v>46111</v>
      </c>
      <c r="W84" s="16"/>
      <c r="X84" s="117"/>
      <c r="Y84" s="117"/>
      <c r="Z84" s="24"/>
      <c r="AA84" s="117"/>
      <c r="AB84" s="117"/>
      <c r="AC84" s="117"/>
      <c r="AD84" s="117"/>
    </row>
    <row r="85" spans="1:30" ht="22.5" customHeight="1">
      <c r="A85" s="61">
        <v>46</v>
      </c>
      <c r="B85" s="17" t="s">
        <v>42</v>
      </c>
      <c r="C85" s="61" t="s">
        <v>237</v>
      </c>
      <c r="D85" s="62">
        <v>46107</v>
      </c>
      <c r="E85" s="63" t="s">
        <v>227</v>
      </c>
      <c r="F85" s="62">
        <v>46107</v>
      </c>
      <c r="G85" s="62">
        <v>46107</v>
      </c>
      <c r="H85" s="4" t="s">
        <v>238</v>
      </c>
      <c r="I85" s="63" t="s">
        <v>0</v>
      </c>
      <c r="J85" s="65">
        <v>46108</v>
      </c>
      <c r="K85" s="63" t="s">
        <v>4</v>
      </c>
      <c r="L85" s="4" t="s">
        <v>239</v>
      </c>
      <c r="M85" s="149">
        <v>3938</v>
      </c>
      <c r="N85" s="184">
        <v>3938</v>
      </c>
      <c r="O85" s="204">
        <v>3884</v>
      </c>
      <c r="P85" s="203">
        <v>0</v>
      </c>
      <c r="Q85" s="182">
        <v>0</v>
      </c>
      <c r="R85" s="190">
        <v>54</v>
      </c>
      <c r="S85" s="159">
        <v>3884</v>
      </c>
      <c r="T85" s="74">
        <v>0.98628745556119857</v>
      </c>
      <c r="U85" s="22">
        <f t="shared" si="7"/>
        <v>19420</v>
      </c>
      <c r="V85" s="20">
        <v>46121</v>
      </c>
      <c r="W85" s="16"/>
      <c r="X85" s="117"/>
      <c r="Y85" s="117"/>
      <c r="Z85" s="24"/>
      <c r="AA85" s="117"/>
      <c r="AB85" s="117"/>
      <c r="AC85" s="117"/>
      <c r="AD85" s="117"/>
    </row>
    <row r="86" spans="1:30" ht="22.5" customHeight="1">
      <c r="A86" s="61">
        <v>47</v>
      </c>
      <c r="B86" s="61" t="s">
        <v>107</v>
      </c>
      <c r="C86" s="61" t="s">
        <v>240</v>
      </c>
      <c r="D86" s="62">
        <v>46112</v>
      </c>
      <c r="E86" s="63" t="s">
        <v>227</v>
      </c>
      <c r="F86" s="62">
        <v>46113</v>
      </c>
      <c r="G86" s="62">
        <v>46118</v>
      </c>
      <c r="H86" s="61" t="s">
        <v>241</v>
      </c>
      <c r="I86" s="63" t="s">
        <v>0</v>
      </c>
      <c r="J86" s="65">
        <v>46121</v>
      </c>
      <c r="K86" s="63" t="s">
        <v>5</v>
      </c>
      <c r="L86" s="4" t="s">
        <v>242</v>
      </c>
      <c r="M86" s="149">
        <v>47528</v>
      </c>
      <c r="N86" s="184">
        <v>47528</v>
      </c>
      <c r="O86" s="204">
        <v>47001</v>
      </c>
      <c r="P86" s="203">
        <v>0</v>
      </c>
      <c r="Q86" s="182">
        <v>0</v>
      </c>
      <c r="R86" s="190">
        <v>527</v>
      </c>
      <c r="S86" s="159">
        <v>47001</v>
      </c>
      <c r="T86" s="74">
        <v>0.98891179936037699</v>
      </c>
      <c r="U86" s="22">
        <f t="shared" si="7"/>
        <v>235005</v>
      </c>
      <c r="V86" s="20">
        <v>46132</v>
      </c>
      <c r="W86" s="16"/>
      <c r="X86" s="117"/>
      <c r="Y86" s="117"/>
      <c r="Z86" s="24"/>
      <c r="AA86" s="117"/>
      <c r="AB86" s="117"/>
      <c r="AC86" s="117"/>
      <c r="AD86" s="117"/>
    </row>
    <row r="87" spans="1:30" ht="22.5" customHeight="1">
      <c r="A87" s="61">
        <v>48</v>
      </c>
      <c r="B87" s="17" t="s">
        <v>42</v>
      </c>
      <c r="C87" s="61" t="s">
        <v>243</v>
      </c>
      <c r="D87" s="62">
        <v>46139</v>
      </c>
      <c r="E87" s="63" t="s">
        <v>5</v>
      </c>
      <c r="F87" s="62">
        <v>46141</v>
      </c>
      <c r="G87" s="62">
        <v>46142</v>
      </c>
      <c r="H87" s="61" t="s">
        <v>244</v>
      </c>
      <c r="I87" s="63" t="s">
        <v>0</v>
      </c>
      <c r="J87" s="65" t="s">
        <v>181</v>
      </c>
      <c r="K87" s="63" t="s">
        <v>5</v>
      </c>
      <c r="L87" s="4" t="s">
        <v>245</v>
      </c>
      <c r="M87" s="149">
        <v>13951</v>
      </c>
      <c r="N87" s="184">
        <v>13951</v>
      </c>
      <c r="O87" s="204">
        <v>13921</v>
      </c>
      <c r="P87" s="203">
        <v>0</v>
      </c>
      <c r="Q87" s="182">
        <v>0</v>
      </c>
      <c r="R87" s="190">
        <v>30</v>
      </c>
      <c r="S87" s="159">
        <v>13921</v>
      </c>
      <c r="T87" s="74">
        <v>0.99784961651494519</v>
      </c>
      <c r="U87" s="22">
        <f>S87*2</f>
        <v>27842</v>
      </c>
      <c r="V87" s="20">
        <v>46147</v>
      </c>
      <c r="W87" s="16"/>
      <c r="X87" s="117"/>
      <c r="Y87" s="117"/>
      <c r="Z87" s="24"/>
      <c r="AA87" s="117"/>
      <c r="AB87" s="117"/>
      <c r="AC87" s="117"/>
      <c r="AD87" s="117"/>
    </row>
    <row r="88" spans="1:30" ht="22.5" customHeight="1">
      <c r="A88" s="61">
        <v>48</v>
      </c>
      <c r="B88" s="17" t="s">
        <v>42</v>
      </c>
      <c r="C88" s="61" t="s">
        <v>243</v>
      </c>
      <c r="D88" s="62">
        <v>46139</v>
      </c>
      <c r="E88" s="63" t="s">
        <v>5</v>
      </c>
      <c r="F88" s="62">
        <v>46141</v>
      </c>
      <c r="G88" s="62">
        <v>46142</v>
      </c>
      <c r="H88" s="5" t="s">
        <v>246</v>
      </c>
      <c r="I88" s="63" t="s">
        <v>2</v>
      </c>
      <c r="J88" s="65" t="s">
        <v>181</v>
      </c>
      <c r="K88" s="63" t="s">
        <v>5</v>
      </c>
      <c r="L88" s="5" t="s">
        <v>247</v>
      </c>
      <c r="M88" s="159">
        <v>2011</v>
      </c>
      <c r="N88" s="189">
        <v>2009</v>
      </c>
      <c r="O88" s="204">
        <v>1769</v>
      </c>
      <c r="P88" s="203">
        <v>18</v>
      </c>
      <c r="Q88" s="182">
        <v>215</v>
      </c>
      <c r="R88" s="190">
        <v>7</v>
      </c>
      <c r="S88" s="159">
        <v>1769</v>
      </c>
      <c r="T88" s="74">
        <v>0.88090000000000002</v>
      </c>
      <c r="U88" s="22">
        <f>S88*2</f>
        <v>3538</v>
      </c>
      <c r="V88" s="20">
        <v>46147</v>
      </c>
      <c r="W88" s="65"/>
      <c r="X88" s="117"/>
      <c r="Y88" s="117"/>
      <c r="Z88" s="24"/>
      <c r="AA88" s="117"/>
      <c r="AB88" s="117"/>
      <c r="AC88" s="117"/>
      <c r="AD88" s="117"/>
    </row>
    <row r="89" spans="1:30" ht="22.5" customHeight="1">
      <c r="A89" s="61">
        <v>49</v>
      </c>
      <c r="B89" s="17" t="s">
        <v>88</v>
      </c>
      <c r="C89" s="61" t="s">
        <v>248</v>
      </c>
      <c r="D89" s="62">
        <v>46135</v>
      </c>
      <c r="E89" s="63" t="s">
        <v>5</v>
      </c>
      <c r="F89" s="62">
        <v>46136</v>
      </c>
      <c r="G89" s="62">
        <v>46137</v>
      </c>
      <c r="H89" s="5" t="s">
        <v>249</v>
      </c>
      <c r="I89" s="63" t="s">
        <v>0</v>
      </c>
      <c r="J89" s="65">
        <v>46141</v>
      </c>
      <c r="K89" s="63" t="s">
        <v>5</v>
      </c>
      <c r="L89" s="5" t="s">
        <v>250</v>
      </c>
      <c r="M89" s="158">
        <v>6898</v>
      </c>
      <c r="N89" s="184">
        <v>6898</v>
      </c>
      <c r="O89" s="204">
        <v>38200</v>
      </c>
      <c r="P89" s="203">
        <v>0</v>
      </c>
      <c r="Q89" s="182">
        <v>0</v>
      </c>
      <c r="R89" s="188">
        <v>-31302</v>
      </c>
      <c r="S89" s="159">
        <v>38200</v>
      </c>
      <c r="T89" s="74">
        <v>0.99909999999999999</v>
      </c>
      <c r="U89" s="22">
        <f>S89*5</f>
        <v>191000</v>
      </c>
      <c r="V89" s="20">
        <v>46142</v>
      </c>
      <c r="W89" s="63"/>
      <c r="X89" s="117"/>
      <c r="Y89" s="132"/>
      <c r="Z89" s="132"/>
      <c r="AA89" s="133"/>
      <c r="AB89" s="133"/>
      <c r="AC89" s="117"/>
      <c r="AD89" s="117"/>
    </row>
    <row r="90" spans="1:30" ht="22.5" customHeight="1">
      <c r="A90" s="61">
        <v>50</v>
      </c>
      <c r="B90" s="17" t="s">
        <v>88</v>
      </c>
      <c r="C90" s="63" t="s">
        <v>251</v>
      </c>
      <c r="D90" s="62">
        <v>46135</v>
      </c>
      <c r="E90" s="63" t="s">
        <v>5</v>
      </c>
      <c r="F90" s="62">
        <v>46136</v>
      </c>
      <c r="G90" s="62">
        <v>46137</v>
      </c>
      <c r="H90" s="63" t="s">
        <v>252</v>
      </c>
      <c r="I90" s="63" t="s">
        <v>0</v>
      </c>
      <c r="J90" s="65">
        <v>46141</v>
      </c>
      <c r="K90" s="63" t="s">
        <v>5</v>
      </c>
      <c r="L90" s="5" t="s">
        <v>250</v>
      </c>
      <c r="M90" s="158">
        <v>6898</v>
      </c>
      <c r="N90" s="184">
        <v>6898</v>
      </c>
      <c r="O90" s="204">
        <v>41939</v>
      </c>
      <c r="P90" s="203">
        <v>0</v>
      </c>
      <c r="Q90" s="182">
        <v>0</v>
      </c>
      <c r="R90" s="188">
        <v>-35041</v>
      </c>
      <c r="S90" s="159">
        <v>41939</v>
      </c>
      <c r="T90" s="74">
        <v>0.99909999999999999</v>
      </c>
      <c r="U90" s="22">
        <f>S90*5</f>
        <v>209695</v>
      </c>
      <c r="V90" s="20">
        <v>46142</v>
      </c>
      <c r="W90" s="63"/>
      <c r="X90" s="117"/>
      <c r="Y90" s="132"/>
      <c r="Z90" s="132"/>
      <c r="AA90" s="133"/>
      <c r="AB90" s="133"/>
      <c r="AC90" s="117"/>
      <c r="AD90" s="117"/>
    </row>
    <row r="91" spans="1:30" ht="22.5" customHeight="1">
      <c r="A91" s="61">
        <v>51</v>
      </c>
      <c r="B91" s="61" t="s">
        <v>230</v>
      </c>
      <c r="C91" s="63" t="s">
        <v>253</v>
      </c>
      <c r="D91" s="62">
        <v>46135</v>
      </c>
      <c r="E91" s="63" t="s">
        <v>5</v>
      </c>
      <c r="F91" s="62">
        <v>46136</v>
      </c>
      <c r="G91" s="62">
        <v>46137</v>
      </c>
      <c r="H91" s="63" t="s">
        <v>254</v>
      </c>
      <c r="I91" s="63" t="s">
        <v>0</v>
      </c>
      <c r="J91" s="65">
        <v>46140</v>
      </c>
      <c r="K91" s="63" t="s">
        <v>5</v>
      </c>
      <c r="L91" s="5" t="s">
        <v>255</v>
      </c>
      <c r="M91" s="159">
        <v>178</v>
      </c>
      <c r="N91" s="189">
        <v>178</v>
      </c>
      <c r="O91" s="205">
        <v>178</v>
      </c>
      <c r="P91" s="203">
        <v>0</v>
      </c>
      <c r="Q91" s="182">
        <v>0</v>
      </c>
      <c r="R91" s="190">
        <v>0</v>
      </c>
      <c r="S91" s="159">
        <v>714</v>
      </c>
      <c r="T91" s="74">
        <v>1</v>
      </c>
      <c r="U91" s="22">
        <f t="shared" ref="U91:U107" si="8">S91*5</f>
        <v>3570</v>
      </c>
      <c r="V91" s="20">
        <v>46141</v>
      </c>
      <c r="W91" s="63"/>
      <c r="X91" s="117"/>
      <c r="Y91" s="132"/>
      <c r="Z91" s="132"/>
      <c r="AA91" s="133"/>
      <c r="AB91" s="133"/>
      <c r="AC91" s="117"/>
      <c r="AD91" s="117"/>
    </row>
    <row r="92" spans="1:30" ht="22.5" customHeight="1">
      <c r="A92" s="61">
        <v>51</v>
      </c>
      <c r="B92" s="61" t="s">
        <v>230</v>
      </c>
      <c r="C92" s="63" t="s">
        <v>253</v>
      </c>
      <c r="D92" s="62">
        <v>46135</v>
      </c>
      <c r="E92" s="63" t="s">
        <v>5</v>
      </c>
      <c r="F92" s="62">
        <v>46136</v>
      </c>
      <c r="G92" s="62">
        <v>46137</v>
      </c>
      <c r="H92" s="63" t="s">
        <v>256</v>
      </c>
      <c r="I92" s="63" t="s">
        <v>0</v>
      </c>
      <c r="J92" s="65">
        <v>46141</v>
      </c>
      <c r="K92" s="63" t="s">
        <v>5</v>
      </c>
      <c r="L92" s="5" t="s">
        <v>255</v>
      </c>
      <c r="M92" s="159">
        <v>112</v>
      </c>
      <c r="N92" s="189">
        <v>112</v>
      </c>
      <c r="O92" s="205">
        <v>112</v>
      </c>
      <c r="P92" s="203">
        <v>0</v>
      </c>
      <c r="Q92" s="182">
        <v>0</v>
      </c>
      <c r="R92" s="190">
        <v>0</v>
      </c>
      <c r="S92" s="159">
        <v>448</v>
      </c>
      <c r="T92" s="74">
        <v>1</v>
      </c>
      <c r="U92" s="22">
        <f t="shared" si="8"/>
        <v>2240</v>
      </c>
      <c r="V92" s="20">
        <v>46141</v>
      </c>
      <c r="W92" s="63"/>
      <c r="X92" s="117"/>
      <c r="Y92" s="132"/>
      <c r="Z92" s="132"/>
      <c r="AA92" s="133"/>
      <c r="AB92" s="133"/>
      <c r="AC92" s="117"/>
      <c r="AD92" s="117"/>
    </row>
    <row r="93" spans="1:30" ht="22.5" customHeight="1">
      <c r="A93" s="61">
        <v>52</v>
      </c>
      <c r="B93" s="61" t="s">
        <v>230</v>
      </c>
      <c r="C93" s="63" t="s">
        <v>257</v>
      </c>
      <c r="D93" s="62">
        <v>46129</v>
      </c>
      <c r="E93" s="63" t="s">
        <v>5</v>
      </c>
      <c r="F93" s="62">
        <v>46129</v>
      </c>
      <c r="G93" s="62">
        <v>46130</v>
      </c>
      <c r="H93" s="63" t="s">
        <v>258</v>
      </c>
      <c r="I93" s="63" t="s">
        <v>0</v>
      </c>
      <c r="J93" s="65">
        <v>46290</v>
      </c>
      <c r="K93" s="63" t="s">
        <v>5</v>
      </c>
      <c r="L93" s="5" t="s">
        <v>259</v>
      </c>
      <c r="M93" s="159">
        <v>749</v>
      </c>
      <c r="N93" s="189">
        <v>749</v>
      </c>
      <c r="O93" s="205">
        <v>749</v>
      </c>
      <c r="P93" s="203">
        <v>0</v>
      </c>
      <c r="Q93" s="182">
        <v>0</v>
      </c>
      <c r="R93" s="190">
        <v>0</v>
      </c>
      <c r="S93" s="159">
        <v>2996</v>
      </c>
      <c r="T93" s="74">
        <v>1</v>
      </c>
      <c r="U93" s="22">
        <f t="shared" si="8"/>
        <v>14980</v>
      </c>
      <c r="V93" s="20">
        <v>46289</v>
      </c>
      <c r="W93" s="63"/>
      <c r="X93" s="117"/>
      <c r="Y93" s="132"/>
      <c r="Z93" s="132"/>
      <c r="AA93" s="133"/>
      <c r="AB93" s="133"/>
      <c r="AC93" s="117"/>
      <c r="AD93" s="117"/>
    </row>
    <row r="94" spans="1:30" ht="22.5" customHeight="1">
      <c r="A94" s="61">
        <v>53</v>
      </c>
      <c r="B94" s="61" t="s">
        <v>230</v>
      </c>
      <c r="C94" s="82" t="s">
        <v>260</v>
      </c>
      <c r="D94" s="62">
        <v>46134</v>
      </c>
      <c r="E94" s="63" t="s">
        <v>5</v>
      </c>
      <c r="F94" s="62">
        <v>46135</v>
      </c>
      <c r="G94" s="62">
        <v>46136</v>
      </c>
      <c r="H94" s="63" t="s">
        <v>261</v>
      </c>
      <c r="I94" s="63" t="s">
        <v>0</v>
      </c>
      <c r="J94" s="65" t="s">
        <v>181</v>
      </c>
      <c r="K94" s="63" t="s">
        <v>5</v>
      </c>
      <c r="L94" s="5" t="s">
        <v>262</v>
      </c>
      <c r="M94" s="159">
        <v>796</v>
      </c>
      <c r="N94" s="189">
        <v>796</v>
      </c>
      <c r="O94" s="205">
        <v>796</v>
      </c>
      <c r="P94" s="203">
        <v>0</v>
      </c>
      <c r="Q94" s="182">
        <v>0</v>
      </c>
      <c r="R94" s="190">
        <v>0</v>
      </c>
      <c r="S94" s="159">
        <v>3980</v>
      </c>
      <c r="T94" s="74">
        <v>1</v>
      </c>
      <c r="U94" s="22">
        <f t="shared" si="8"/>
        <v>19900</v>
      </c>
      <c r="V94" s="20">
        <v>46141</v>
      </c>
      <c r="W94" s="63"/>
      <c r="X94" s="117"/>
      <c r="Y94" s="83"/>
      <c r="Z94" s="132"/>
      <c r="AA94" s="83"/>
      <c r="AB94" s="133"/>
      <c r="AC94" s="117"/>
      <c r="AD94" s="118"/>
    </row>
    <row r="95" spans="1:30" ht="22.5" customHeight="1">
      <c r="A95" s="61">
        <v>54</v>
      </c>
      <c r="B95" s="61" t="s">
        <v>230</v>
      </c>
      <c r="C95" s="63" t="s">
        <v>263</v>
      </c>
      <c r="D95" s="62">
        <v>46171</v>
      </c>
      <c r="E95" s="63" t="s">
        <v>6</v>
      </c>
      <c r="F95" s="62">
        <v>46171</v>
      </c>
      <c r="G95" s="62">
        <v>46171</v>
      </c>
      <c r="H95" s="63" t="s">
        <v>264</v>
      </c>
      <c r="I95" s="63" t="s">
        <v>0</v>
      </c>
      <c r="J95" s="65">
        <v>46174</v>
      </c>
      <c r="K95" s="63" t="s">
        <v>7</v>
      </c>
      <c r="L95" s="5" t="s">
        <v>265</v>
      </c>
      <c r="M95" s="159">
        <v>58</v>
      </c>
      <c r="N95" s="189">
        <v>58</v>
      </c>
      <c r="O95" s="205">
        <v>58</v>
      </c>
      <c r="P95" s="203">
        <v>0</v>
      </c>
      <c r="Q95" s="182">
        <v>0</v>
      </c>
      <c r="R95" s="190">
        <v>0</v>
      </c>
      <c r="S95" s="159">
        <v>30</v>
      </c>
      <c r="T95" s="74">
        <v>0.51724137931034486</v>
      </c>
      <c r="U95" s="22">
        <f t="shared" si="8"/>
        <v>150</v>
      </c>
      <c r="V95" s="20">
        <v>46177</v>
      </c>
      <c r="W95" s="63"/>
      <c r="X95" s="117"/>
      <c r="Y95" s="117"/>
      <c r="Z95" s="117"/>
      <c r="AA95" s="117"/>
      <c r="AB95" s="117"/>
      <c r="AC95" s="117"/>
      <c r="AD95" s="117"/>
    </row>
    <row r="96" spans="1:30" ht="22.5" customHeight="1">
      <c r="A96" s="61">
        <v>55</v>
      </c>
      <c r="B96" s="63" t="s">
        <v>266</v>
      </c>
      <c r="C96" s="63" t="s">
        <v>267</v>
      </c>
      <c r="D96" s="62">
        <v>46171</v>
      </c>
      <c r="E96" s="63" t="s">
        <v>6</v>
      </c>
      <c r="F96" s="62">
        <v>46171</v>
      </c>
      <c r="G96" s="62">
        <v>46171</v>
      </c>
      <c r="H96" s="63" t="s">
        <v>268</v>
      </c>
      <c r="I96" s="63" t="s">
        <v>0</v>
      </c>
      <c r="J96" s="65">
        <v>46174</v>
      </c>
      <c r="K96" s="63" t="s">
        <v>7</v>
      </c>
      <c r="L96" s="5" t="s">
        <v>269</v>
      </c>
      <c r="M96" s="158">
        <v>4832</v>
      </c>
      <c r="N96" s="184">
        <v>4832</v>
      </c>
      <c r="O96" s="204">
        <v>2474</v>
      </c>
      <c r="P96" s="203">
        <v>0</v>
      </c>
      <c r="Q96" s="182">
        <v>0</v>
      </c>
      <c r="R96" s="188">
        <v>2358</v>
      </c>
      <c r="S96" s="158">
        <v>14566</v>
      </c>
      <c r="T96" s="134">
        <v>0.51497260031818981</v>
      </c>
      <c r="U96" s="22">
        <f t="shared" si="8"/>
        <v>72830</v>
      </c>
      <c r="V96" s="20">
        <v>46178</v>
      </c>
      <c r="W96" s="63"/>
      <c r="X96" s="117"/>
      <c r="Y96" s="117"/>
      <c r="Z96" s="117"/>
      <c r="AA96" s="117"/>
      <c r="AB96" s="117"/>
      <c r="AC96" s="117"/>
      <c r="AD96" s="117"/>
    </row>
    <row r="97" spans="1:26" ht="22.5" customHeight="1">
      <c r="A97" s="61">
        <v>55</v>
      </c>
      <c r="B97" s="63" t="s">
        <v>266</v>
      </c>
      <c r="C97" s="63" t="s">
        <v>267</v>
      </c>
      <c r="D97" s="62">
        <v>46171</v>
      </c>
      <c r="E97" s="63" t="s">
        <v>6</v>
      </c>
      <c r="F97" s="62">
        <v>46171</v>
      </c>
      <c r="G97" s="62">
        <v>46172</v>
      </c>
      <c r="H97" s="63" t="s">
        <v>268</v>
      </c>
      <c r="I97" s="63" t="s">
        <v>0</v>
      </c>
      <c r="J97" s="65">
        <v>46174</v>
      </c>
      <c r="K97" s="63" t="s">
        <v>7</v>
      </c>
      <c r="L97" s="5" t="s">
        <v>269</v>
      </c>
      <c r="M97" s="158">
        <v>4832</v>
      </c>
      <c r="N97" s="184">
        <v>4832</v>
      </c>
      <c r="O97" s="204">
        <v>2396</v>
      </c>
      <c r="P97" s="203">
        <v>0</v>
      </c>
      <c r="Q97" s="182">
        <v>0</v>
      </c>
      <c r="R97" s="188">
        <v>2436</v>
      </c>
      <c r="S97" s="158">
        <v>14072</v>
      </c>
      <c r="T97" s="134">
        <v>0.49773627617430671</v>
      </c>
      <c r="U97" s="22">
        <f t="shared" si="8"/>
        <v>70360</v>
      </c>
      <c r="V97" s="20">
        <v>46178</v>
      </c>
      <c r="W97" s="63"/>
      <c r="Z97" s="45"/>
    </row>
    <row r="98" spans="1:26" ht="22.5" customHeight="1">
      <c r="A98" s="61">
        <v>55</v>
      </c>
      <c r="B98" s="63" t="s">
        <v>266</v>
      </c>
      <c r="C98" s="63" t="s">
        <v>267</v>
      </c>
      <c r="D98" s="62">
        <v>46171</v>
      </c>
      <c r="E98" s="63" t="s">
        <v>6</v>
      </c>
      <c r="F98" s="62">
        <v>46171</v>
      </c>
      <c r="G98" s="62">
        <v>46174</v>
      </c>
      <c r="H98" s="63" t="s">
        <v>268</v>
      </c>
      <c r="I98" s="63" t="s">
        <v>0</v>
      </c>
      <c r="J98" s="65">
        <v>46174</v>
      </c>
      <c r="K98" s="63" t="s">
        <v>7</v>
      </c>
      <c r="L98" s="5" t="s">
        <v>269</v>
      </c>
      <c r="M98" s="158">
        <v>4832</v>
      </c>
      <c r="N98" s="184">
        <v>4832</v>
      </c>
      <c r="O98" s="204">
        <v>2436</v>
      </c>
      <c r="P98" s="203">
        <v>0</v>
      </c>
      <c r="Q98" s="182">
        <v>0</v>
      </c>
      <c r="R98" s="188">
        <v>2396</v>
      </c>
      <c r="S98" s="160">
        <v>4872</v>
      </c>
      <c r="T98" s="134">
        <v>0.50413907284768211</v>
      </c>
      <c r="U98" s="22">
        <f t="shared" si="8"/>
        <v>24360</v>
      </c>
      <c r="V98" s="20">
        <v>46178</v>
      </c>
      <c r="W98" s="63"/>
      <c r="Z98" s="45"/>
    </row>
    <row r="99" spans="1:26" ht="22.5" customHeight="1">
      <c r="A99" s="61">
        <v>56</v>
      </c>
      <c r="B99" s="61" t="s">
        <v>230</v>
      </c>
      <c r="C99" s="63" t="s">
        <v>270</v>
      </c>
      <c r="D99" s="62">
        <v>46163</v>
      </c>
      <c r="E99" s="63" t="s">
        <v>6</v>
      </c>
      <c r="F99" s="62">
        <v>46163</v>
      </c>
      <c r="G99" s="62">
        <v>46164</v>
      </c>
      <c r="H99" s="63" t="s">
        <v>271</v>
      </c>
      <c r="I99" s="63" t="s">
        <v>0</v>
      </c>
      <c r="J99" s="65">
        <v>46165</v>
      </c>
      <c r="K99" s="63" t="s">
        <v>6</v>
      </c>
      <c r="L99" s="5" t="s">
        <v>272</v>
      </c>
      <c r="M99" s="159">
        <v>919</v>
      </c>
      <c r="N99" s="189">
        <v>919</v>
      </c>
      <c r="O99" s="203">
        <v>919</v>
      </c>
      <c r="P99" s="203">
        <v>0</v>
      </c>
      <c r="Q99" s="203">
        <v>0</v>
      </c>
      <c r="R99" s="190">
        <v>0</v>
      </c>
      <c r="S99" s="159">
        <v>2812</v>
      </c>
      <c r="T99" s="134">
        <v>0.99857954545454541</v>
      </c>
      <c r="U99" s="22">
        <f t="shared" si="8"/>
        <v>14060</v>
      </c>
      <c r="V99" s="20">
        <v>46171</v>
      </c>
      <c r="W99" s="63"/>
      <c r="Z99" s="45"/>
    </row>
    <row r="100" spans="1:26" ht="22.5" customHeight="1">
      <c r="A100" s="61">
        <v>57</v>
      </c>
      <c r="B100" s="17" t="s">
        <v>88</v>
      </c>
      <c r="C100" s="63" t="s">
        <v>273</v>
      </c>
      <c r="D100" s="62">
        <v>46163</v>
      </c>
      <c r="E100" s="63" t="s">
        <v>6</v>
      </c>
      <c r="F100" s="62">
        <v>46165</v>
      </c>
      <c r="G100" s="62">
        <v>46165</v>
      </c>
      <c r="H100" s="206" t="s">
        <v>274</v>
      </c>
      <c r="I100" s="63" t="s">
        <v>0</v>
      </c>
      <c r="J100" s="65">
        <v>46168</v>
      </c>
      <c r="K100" s="63" t="s">
        <v>6</v>
      </c>
      <c r="L100" s="5" t="s">
        <v>275</v>
      </c>
      <c r="M100" s="159">
        <v>287</v>
      </c>
      <c r="N100" s="189">
        <v>287</v>
      </c>
      <c r="O100" s="203">
        <v>287</v>
      </c>
      <c r="P100" s="203">
        <v>0</v>
      </c>
      <c r="Q100" s="203">
        <v>0</v>
      </c>
      <c r="R100" s="190">
        <v>0</v>
      </c>
      <c r="S100" s="158">
        <v>1722</v>
      </c>
      <c r="T100" s="135">
        <v>1</v>
      </c>
      <c r="U100" s="22">
        <f t="shared" si="8"/>
        <v>8610</v>
      </c>
      <c r="V100" s="20">
        <v>46171</v>
      </c>
      <c r="W100" s="63"/>
    </row>
    <row r="101" spans="1:26" ht="22.5" customHeight="1">
      <c r="A101" s="61">
        <v>57</v>
      </c>
      <c r="B101" s="17" t="s">
        <v>88</v>
      </c>
      <c r="C101" s="63" t="s">
        <v>273</v>
      </c>
      <c r="D101" s="62">
        <v>46163</v>
      </c>
      <c r="E101" s="63" t="s">
        <v>6</v>
      </c>
      <c r="F101" s="62">
        <v>46165</v>
      </c>
      <c r="G101" s="62">
        <v>46165</v>
      </c>
      <c r="H101" s="5" t="s">
        <v>276</v>
      </c>
      <c r="I101" s="63" t="s">
        <v>0</v>
      </c>
      <c r="J101" s="65">
        <v>46169</v>
      </c>
      <c r="K101" s="63" t="s">
        <v>6</v>
      </c>
      <c r="L101" s="5" t="s">
        <v>275</v>
      </c>
      <c r="M101" s="159">
        <v>287</v>
      </c>
      <c r="N101" s="189">
        <v>287</v>
      </c>
      <c r="O101" s="203">
        <v>287</v>
      </c>
      <c r="P101" s="203">
        <v>0</v>
      </c>
      <c r="Q101" s="203">
        <v>0</v>
      </c>
      <c r="R101" s="190">
        <v>0</v>
      </c>
      <c r="S101" s="161">
        <v>1722</v>
      </c>
      <c r="T101" s="135">
        <v>1</v>
      </c>
      <c r="U101" s="22">
        <f t="shared" si="8"/>
        <v>8610</v>
      </c>
      <c r="V101" s="20">
        <v>46171</v>
      </c>
      <c r="W101" s="63"/>
    </row>
    <row r="102" spans="1:26" ht="22.5" customHeight="1">
      <c r="A102" s="61">
        <v>58</v>
      </c>
      <c r="B102" s="17" t="s">
        <v>42</v>
      </c>
      <c r="C102" s="63" t="s">
        <v>277</v>
      </c>
      <c r="D102" s="62">
        <v>46161</v>
      </c>
      <c r="E102" s="63" t="s">
        <v>6</v>
      </c>
      <c r="F102" s="62">
        <v>46163</v>
      </c>
      <c r="G102" s="62">
        <v>46171</v>
      </c>
      <c r="H102" s="63" t="s">
        <v>278</v>
      </c>
      <c r="I102" s="63" t="s">
        <v>0</v>
      </c>
      <c r="J102" s="65">
        <v>46167</v>
      </c>
      <c r="K102" s="63" t="s">
        <v>6</v>
      </c>
      <c r="L102" s="5" t="s">
        <v>279</v>
      </c>
      <c r="M102" s="158">
        <v>1508</v>
      </c>
      <c r="N102" s="184">
        <v>1508</v>
      </c>
      <c r="O102" s="202">
        <v>1508</v>
      </c>
      <c r="P102" s="203">
        <v>0</v>
      </c>
      <c r="Q102" s="203">
        <v>0</v>
      </c>
      <c r="R102" s="190">
        <v>0</v>
      </c>
      <c r="S102" s="162">
        <v>12640</v>
      </c>
      <c r="T102" s="134">
        <v>0.99857797440353924</v>
      </c>
      <c r="U102" s="22">
        <f t="shared" si="8"/>
        <v>63200</v>
      </c>
      <c r="V102" s="20">
        <v>46176</v>
      </c>
      <c r="W102" s="63"/>
    </row>
    <row r="103" spans="1:26" ht="22.5" customHeight="1">
      <c r="A103" s="61">
        <v>58</v>
      </c>
      <c r="B103" s="17" t="s">
        <v>42</v>
      </c>
      <c r="C103" s="63" t="s">
        <v>277</v>
      </c>
      <c r="D103" s="62">
        <v>46161</v>
      </c>
      <c r="E103" s="63" t="s">
        <v>6</v>
      </c>
      <c r="F103" s="62">
        <v>46163</v>
      </c>
      <c r="G103" s="62">
        <v>46172</v>
      </c>
      <c r="H103" s="63" t="s">
        <v>278</v>
      </c>
      <c r="I103" s="63" t="s">
        <v>0</v>
      </c>
      <c r="J103" s="65">
        <v>46167</v>
      </c>
      <c r="K103" s="63" t="s">
        <v>6</v>
      </c>
      <c r="L103" s="5" t="s">
        <v>279</v>
      </c>
      <c r="M103" s="158">
        <v>1508</v>
      </c>
      <c r="N103" s="184">
        <v>1508</v>
      </c>
      <c r="O103" s="202">
        <v>1508</v>
      </c>
      <c r="P103" s="203">
        <v>0</v>
      </c>
      <c r="Q103" s="203">
        <v>0</v>
      </c>
      <c r="R103" s="190">
        <v>0</v>
      </c>
      <c r="S103" s="158">
        <v>4956</v>
      </c>
      <c r="T103" s="134">
        <v>0.50253498276211706</v>
      </c>
      <c r="U103" s="22">
        <f t="shared" si="8"/>
        <v>24780</v>
      </c>
      <c r="V103" s="20">
        <v>46176</v>
      </c>
      <c r="W103" s="63"/>
    </row>
    <row r="104" spans="1:26" ht="22.5" customHeight="1">
      <c r="A104" s="61">
        <v>59</v>
      </c>
      <c r="B104" s="61" t="s">
        <v>107</v>
      </c>
      <c r="C104" s="63" t="s">
        <v>280</v>
      </c>
      <c r="D104" s="62">
        <v>46167</v>
      </c>
      <c r="E104" s="63" t="s">
        <v>6</v>
      </c>
      <c r="F104" s="62">
        <v>46167</v>
      </c>
      <c r="G104" s="62">
        <v>46168</v>
      </c>
      <c r="H104" s="63" t="s">
        <v>281</v>
      </c>
      <c r="I104" s="63" t="s">
        <v>0</v>
      </c>
      <c r="J104" s="65">
        <v>46179</v>
      </c>
      <c r="K104" s="63" t="s">
        <v>7</v>
      </c>
      <c r="L104" s="5" t="s">
        <v>282</v>
      </c>
      <c r="M104" s="159">
        <v>174</v>
      </c>
      <c r="N104" s="189">
        <v>174</v>
      </c>
      <c r="O104" s="203">
        <v>174</v>
      </c>
      <c r="P104" s="203">
        <v>0</v>
      </c>
      <c r="Q104" s="203">
        <v>0</v>
      </c>
      <c r="R104" s="190">
        <v>0</v>
      </c>
      <c r="S104" s="159">
        <v>696</v>
      </c>
      <c r="T104" s="74">
        <v>1</v>
      </c>
      <c r="U104" s="22">
        <f t="shared" si="8"/>
        <v>3480</v>
      </c>
      <c r="V104" s="20">
        <v>46171</v>
      </c>
      <c r="W104" s="63"/>
    </row>
    <row r="105" spans="1:26" ht="22.5" customHeight="1">
      <c r="A105" s="61">
        <v>60</v>
      </c>
      <c r="B105" s="61" t="s">
        <v>230</v>
      </c>
      <c r="C105" s="63" t="s">
        <v>283</v>
      </c>
      <c r="D105" s="62">
        <v>46163</v>
      </c>
      <c r="E105" s="63" t="s">
        <v>6</v>
      </c>
      <c r="F105" s="62">
        <v>46163</v>
      </c>
      <c r="G105" s="62">
        <v>46165</v>
      </c>
      <c r="H105" s="63" t="s">
        <v>284</v>
      </c>
      <c r="I105" s="63" t="s">
        <v>0</v>
      </c>
      <c r="J105" s="65">
        <v>46167</v>
      </c>
      <c r="K105" s="63" t="s">
        <v>6</v>
      </c>
      <c r="L105" s="5" t="s">
        <v>272</v>
      </c>
      <c r="M105" s="159">
        <v>200</v>
      </c>
      <c r="N105" s="189">
        <v>200</v>
      </c>
      <c r="O105" s="203">
        <v>200</v>
      </c>
      <c r="P105" s="203">
        <v>0</v>
      </c>
      <c r="Q105" s="203">
        <v>0</v>
      </c>
      <c r="R105" s="190">
        <v>0</v>
      </c>
      <c r="S105" s="159">
        <v>800</v>
      </c>
      <c r="T105" s="74">
        <v>1</v>
      </c>
      <c r="U105" s="22">
        <f t="shared" si="8"/>
        <v>4000</v>
      </c>
      <c r="V105" s="20">
        <v>46171</v>
      </c>
      <c r="W105" s="63"/>
    </row>
    <row r="106" spans="1:26" ht="22.5" customHeight="1">
      <c r="A106" s="61">
        <v>61</v>
      </c>
      <c r="B106" s="61" t="s">
        <v>230</v>
      </c>
      <c r="C106" s="63" t="s">
        <v>285</v>
      </c>
      <c r="D106" s="62">
        <v>46156</v>
      </c>
      <c r="E106" s="63" t="s">
        <v>6</v>
      </c>
      <c r="F106" s="62">
        <v>46157</v>
      </c>
      <c r="G106" s="62">
        <v>46161</v>
      </c>
      <c r="H106" s="63" t="s">
        <v>286</v>
      </c>
      <c r="I106" s="63" t="s">
        <v>0</v>
      </c>
      <c r="J106" s="65">
        <v>46165</v>
      </c>
      <c r="K106" s="63" t="s">
        <v>6</v>
      </c>
      <c r="L106" s="5" t="s">
        <v>287</v>
      </c>
      <c r="M106" s="159">
        <v>826</v>
      </c>
      <c r="N106" s="189">
        <v>826</v>
      </c>
      <c r="O106" s="203">
        <v>826</v>
      </c>
      <c r="P106" s="203">
        <v>0</v>
      </c>
      <c r="Q106" s="203">
        <v>0</v>
      </c>
      <c r="R106" s="190">
        <v>0</v>
      </c>
      <c r="S106" s="160">
        <v>3300</v>
      </c>
      <c r="T106" s="136">
        <v>0.99880000000000002</v>
      </c>
      <c r="U106" s="22">
        <f t="shared" si="8"/>
        <v>16500</v>
      </c>
      <c r="V106" s="20">
        <v>46171</v>
      </c>
      <c r="W106" s="63"/>
    </row>
    <row r="107" spans="1:26" ht="22.5" customHeight="1">
      <c r="A107" s="61">
        <v>62</v>
      </c>
      <c r="B107" s="17" t="s">
        <v>42</v>
      </c>
      <c r="C107" s="63" t="s">
        <v>243</v>
      </c>
      <c r="D107" s="62">
        <v>46149</v>
      </c>
      <c r="E107" s="63" t="s">
        <v>6</v>
      </c>
      <c r="F107" s="62">
        <v>46150</v>
      </c>
      <c r="G107" s="62">
        <v>46150</v>
      </c>
      <c r="H107" s="63" t="s">
        <v>288</v>
      </c>
      <c r="I107" s="63" t="s">
        <v>0</v>
      </c>
      <c r="J107" s="63" t="s">
        <v>181</v>
      </c>
      <c r="K107" s="63" t="s">
        <v>6</v>
      </c>
      <c r="L107" s="5" t="s">
        <v>245</v>
      </c>
      <c r="M107" s="159">
        <v>2015</v>
      </c>
      <c r="N107" s="189">
        <v>2015</v>
      </c>
      <c r="O107" s="203">
        <v>2015</v>
      </c>
      <c r="P107" s="203">
        <v>0</v>
      </c>
      <c r="Q107" s="203">
        <v>0</v>
      </c>
      <c r="R107" s="190">
        <v>0</v>
      </c>
      <c r="S107" s="158">
        <v>18097</v>
      </c>
      <c r="T107" s="74">
        <v>1</v>
      </c>
      <c r="U107" s="22">
        <f t="shared" si="8"/>
        <v>90485</v>
      </c>
      <c r="V107" s="20">
        <v>46156</v>
      </c>
      <c r="W107" s="63"/>
    </row>
    <row r="108" spans="1:26" ht="22.5" customHeight="1">
      <c r="A108" s="61">
        <v>62</v>
      </c>
      <c r="B108" s="17" t="s">
        <v>42</v>
      </c>
      <c r="C108" s="63" t="s">
        <v>289</v>
      </c>
      <c r="D108" s="62">
        <v>46149</v>
      </c>
      <c r="E108" s="63" t="s">
        <v>6</v>
      </c>
      <c r="F108" s="62">
        <v>46150</v>
      </c>
      <c r="G108" s="62">
        <v>46150</v>
      </c>
      <c r="H108" s="5" t="s">
        <v>290</v>
      </c>
      <c r="I108" s="63" t="s">
        <v>2</v>
      </c>
      <c r="J108" s="63" t="s">
        <v>181</v>
      </c>
      <c r="K108" s="63" t="s">
        <v>6</v>
      </c>
      <c r="L108" s="5" t="s">
        <v>247</v>
      </c>
      <c r="M108" s="158">
        <v>2011</v>
      </c>
      <c r="N108" s="184">
        <v>2011</v>
      </c>
      <c r="O108" s="202">
        <v>1829</v>
      </c>
      <c r="P108" s="207">
        <v>16</v>
      </c>
      <c r="Q108" s="203">
        <v>6</v>
      </c>
      <c r="R108" s="190">
        <v>160</v>
      </c>
      <c r="S108" s="163">
        <v>1829</v>
      </c>
      <c r="T108" s="134">
        <v>0.90949776230730983</v>
      </c>
      <c r="U108" s="84">
        <f>S108*2</f>
        <v>3658</v>
      </c>
      <c r="V108" s="20">
        <v>46156</v>
      </c>
      <c r="W108" s="63"/>
    </row>
    <row r="109" spans="1:26" ht="22.5" customHeight="1">
      <c r="A109" s="61">
        <v>63</v>
      </c>
      <c r="B109" s="61" t="s">
        <v>230</v>
      </c>
      <c r="C109" s="63" t="s">
        <v>291</v>
      </c>
      <c r="D109" s="65">
        <v>46164</v>
      </c>
      <c r="E109" s="63" t="s">
        <v>6</v>
      </c>
      <c r="F109" s="62">
        <v>46164</v>
      </c>
      <c r="G109" s="62">
        <v>46165</v>
      </c>
      <c r="H109" s="63" t="s">
        <v>292</v>
      </c>
      <c r="I109" s="63" t="s">
        <v>0</v>
      </c>
      <c r="J109" s="65">
        <v>46167</v>
      </c>
      <c r="K109" s="63" t="s">
        <v>6</v>
      </c>
      <c r="L109" s="5" t="s">
        <v>293</v>
      </c>
      <c r="M109" s="158">
        <v>6893</v>
      </c>
      <c r="N109" s="184">
        <v>6893</v>
      </c>
      <c r="O109" s="202">
        <v>6893</v>
      </c>
      <c r="P109" s="203">
        <v>0</v>
      </c>
      <c r="Q109" s="203">
        <v>0</v>
      </c>
      <c r="R109" s="190">
        <v>0</v>
      </c>
      <c r="S109" s="158">
        <v>50117</v>
      </c>
      <c r="T109" s="66">
        <v>0.99990000000000001</v>
      </c>
      <c r="U109" s="84">
        <f>S109*5</f>
        <v>250585</v>
      </c>
      <c r="V109" s="20">
        <v>46171</v>
      </c>
      <c r="W109" s="63"/>
    </row>
    <row r="110" spans="1:26" ht="22.5" customHeight="1">
      <c r="A110" s="61">
        <v>64</v>
      </c>
      <c r="B110" s="17" t="s">
        <v>88</v>
      </c>
      <c r="C110" s="63" t="s">
        <v>294</v>
      </c>
      <c r="D110" s="65">
        <v>46153</v>
      </c>
      <c r="E110" s="63" t="s">
        <v>6</v>
      </c>
      <c r="F110" s="62">
        <v>46154</v>
      </c>
      <c r="G110" s="62">
        <v>46154</v>
      </c>
      <c r="H110" s="63" t="s">
        <v>295</v>
      </c>
      <c r="I110" s="63" t="s">
        <v>0</v>
      </c>
      <c r="J110" s="65">
        <v>46156</v>
      </c>
      <c r="K110" s="63" t="s">
        <v>6</v>
      </c>
      <c r="L110" s="5" t="s">
        <v>296</v>
      </c>
      <c r="M110" s="159">
        <v>6893</v>
      </c>
      <c r="N110" s="189">
        <v>6893</v>
      </c>
      <c r="O110" s="203">
        <v>6893</v>
      </c>
      <c r="P110" s="203">
        <v>0</v>
      </c>
      <c r="Q110" s="203">
        <v>0</v>
      </c>
      <c r="R110" s="190">
        <v>0</v>
      </c>
      <c r="S110" s="158">
        <v>35494</v>
      </c>
      <c r="T110" s="134">
        <v>0.99912737508796623</v>
      </c>
      <c r="U110" s="84">
        <f>S110*5</f>
        <v>177470</v>
      </c>
      <c r="V110" s="20">
        <v>46162</v>
      </c>
      <c r="W110" s="63"/>
    </row>
    <row r="111" spans="1:26" ht="22.5" customHeight="1">
      <c r="A111" s="61">
        <v>65</v>
      </c>
      <c r="B111" s="61" t="s">
        <v>230</v>
      </c>
      <c r="C111" s="63" t="s">
        <v>297</v>
      </c>
      <c r="D111" s="65">
        <v>46182</v>
      </c>
      <c r="E111" s="63" t="s">
        <v>7</v>
      </c>
      <c r="F111" s="65">
        <v>46183</v>
      </c>
      <c r="G111" s="65">
        <v>46185</v>
      </c>
      <c r="H111" s="5" t="s">
        <v>298</v>
      </c>
      <c r="I111" s="63" t="s">
        <v>0</v>
      </c>
      <c r="J111" s="65">
        <v>46182</v>
      </c>
      <c r="K111" s="63" t="s">
        <v>7</v>
      </c>
      <c r="L111" s="5" t="s">
        <v>299</v>
      </c>
      <c r="M111" s="159">
        <v>23</v>
      </c>
      <c r="N111" s="189">
        <v>23</v>
      </c>
      <c r="O111" s="203">
        <v>23</v>
      </c>
      <c r="P111" s="203">
        <v>0</v>
      </c>
      <c r="Q111" s="203">
        <v>0</v>
      </c>
      <c r="R111" s="190">
        <v>0</v>
      </c>
      <c r="S111" s="164">
        <v>124</v>
      </c>
      <c r="T111" s="74">
        <v>1</v>
      </c>
      <c r="U111" s="84">
        <f>S111*5</f>
        <v>620</v>
      </c>
      <c r="V111" s="20">
        <v>46192</v>
      </c>
      <c r="W111" s="63"/>
    </row>
    <row r="112" spans="1:26" ht="22.5" customHeight="1">
      <c r="A112" s="61">
        <v>66</v>
      </c>
      <c r="B112" s="61" t="s">
        <v>230</v>
      </c>
      <c r="C112" s="63" t="s">
        <v>300</v>
      </c>
      <c r="D112" s="65">
        <v>46182</v>
      </c>
      <c r="E112" s="63" t="s">
        <v>7</v>
      </c>
      <c r="F112" s="65">
        <v>46183</v>
      </c>
      <c r="G112" s="65">
        <v>46185</v>
      </c>
      <c r="H112" s="63" t="s">
        <v>301</v>
      </c>
      <c r="I112" s="63" t="s">
        <v>0</v>
      </c>
      <c r="J112" s="63" t="s">
        <v>181</v>
      </c>
      <c r="K112" s="63" t="s">
        <v>7</v>
      </c>
      <c r="L112" s="5" t="s">
        <v>302</v>
      </c>
      <c r="M112" s="159">
        <v>54</v>
      </c>
      <c r="N112" s="189">
        <v>54</v>
      </c>
      <c r="O112" s="203">
        <v>54</v>
      </c>
      <c r="P112" s="203">
        <v>0</v>
      </c>
      <c r="Q112" s="203">
        <v>0</v>
      </c>
      <c r="R112" s="190">
        <v>0</v>
      </c>
      <c r="S112" s="164">
        <v>248</v>
      </c>
      <c r="T112" s="74">
        <v>1</v>
      </c>
      <c r="U112" s="84">
        <f>S112*5</f>
        <v>1240</v>
      </c>
      <c r="V112" s="20">
        <v>46192</v>
      </c>
      <c r="W112" s="63"/>
    </row>
    <row r="113" spans="1:30" ht="22.5" customHeight="1">
      <c r="A113" s="61">
        <v>67</v>
      </c>
      <c r="B113" s="63" t="s">
        <v>266</v>
      </c>
      <c r="C113" s="63" t="s">
        <v>303</v>
      </c>
      <c r="D113" s="65">
        <v>46177</v>
      </c>
      <c r="E113" s="63" t="s">
        <v>7</v>
      </c>
      <c r="F113" s="65">
        <v>46177</v>
      </c>
      <c r="G113" s="65">
        <v>46178</v>
      </c>
      <c r="H113" s="63" t="s">
        <v>304</v>
      </c>
      <c r="I113" s="63" t="s">
        <v>0</v>
      </c>
      <c r="J113" s="65">
        <v>46182</v>
      </c>
      <c r="K113" s="63" t="s">
        <v>7</v>
      </c>
      <c r="L113" s="5" t="s">
        <v>305</v>
      </c>
      <c r="M113" s="158">
        <v>1956</v>
      </c>
      <c r="N113" s="184">
        <v>1956</v>
      </c>
      <c r="O113" s="202">
        <v>1952</v>
      </c>
      <c r="P113" s="203">
        <v>0</v>
      </c>
      <c r="Q113" s="203">
        <v>0</v>
      </c>
      <c r="R113" s="190">
        <v>4</v>
      </c>
      <c r="S113" s="165">
        <v>11712</v>
      </c>
      <c r="T113" s="134">
        <v>0.99795501022494892</v>
      </c>
      <c r="U113" s="84">
        <f t="shared" ref="U113:U174" si="9">S113*5</f>
        <v>58560</v>
      </c>
      <c r="V113" s="20">
        <v>46189</v>
      </c>
      <c r="W113" s="63"/>
    </row>
    <row r="114" spans="1:30" ht="22.5" customHeight="1">
      <c r="A114" s="61">
        <v>67</v>
      </c>
      <c r="B114" s="63" t="s">
        <v>266</v>
      </c>
      <c r="C114" s="63" t="s">
        <v>306</v>
      </c>
      <c r="D114" s="65">
        <v>46177</v>
      </c>
      <c r="E114" s="63" t="s">
        <v>7</v>
      </c>
      <c r="F114" s="65">
        <v>46177</v>
      </c>
      <c r="G114" s="65">
        <v>46178</v>
      </c>
      <c r="H114" s="63" t="s">
        <v>307</v>
      </c>
      <c r="I114" s="63" t="s">
        <v>0</v>
      </c>
      <c r="J114" s="65">
        <v>46182</v>
      </c>
      <c r="K114" s="63" t="s">
        <v>7</v>
      </c>
      <c r="L114" s="5" t="s">
        <v>305</v>
      </c>
      <c r="M114" s="159">
        <v>39</v>
      </c>
      <c r="N114" s="189">
        <v>39</v>
      </c>
      <c r="O114" s="203">
        <v>39</v>
      </c>
      <c r="P114" s="203">
        <v>0</v>
      </c>
      <c r="Q114" s="203">
        <v>0</v>
      </c>
      <c r="R114" s="190">
        <v>0</v>
      </c>
      <c r="S114" s="164">
        <v>234</v>
      </c>
      <c r="T114" s="74">
        <v>1</v>
      </c>
      <c r="U114" s="84">
        <f t="shared" si="9"/>
        <v>1170</v>
      </c>
      <c r="V114" s="20">
        <v>46189</v>
      </c>
      <c r="W114" s="63"/>
    </row>
    <row r="115" spans="1:30" ht="22.5" customHeight="1">
      <c r="A115" s="61">
        <v>68</v>
      </c>
      <c r="B115" s="17" t="s">
        <v>42</v>
      </c>
      <c r="C115" s="63" t="s">
        <v>243</v>
      </c>
      <c r="D115" s="65">
        <v>46178</v>
      </c>
      <c r="E115" s="63" t="s">
        <v>7</v>
      </c>
      <c r="F115" s="65">
        <v>46181</v>
      </c>
      <c r="G115" s="65">
        <v>46182</v>
      </c>
      <c r="H115" s="63" t="s">
        <v>308</v>
      </c>
      <c r="I115" s="63" t="s">
        <v>0</v>
      </c>
      <c r="J115" s="63" t="s">
        <v>181</v>
      </c>
      <c r="K115" s="63" t="s">
        <v>7</v>
      </c>
      <c r="L115" s="5" t="s">
        <v>245</v>
      </c>
      <c r="M115" s="160">
        <v>2009</v>
      </c>
      <c r="N115" s="208">
        <v>2009</v>
      </c>
      <c r="O115" s="204">
        <v>2009</v>
      </c>
      <c r="P115" s="203">
        <v>0</v>
      </c>
      <c r="Q115" s="203">
        <v>0</v>
      </c>
      <c r="R115" s="190">
        <v>0</v>
      </c>
      <c r="S115" s="165">
        <v>16072</v>
      </c>
      <c r="T115" s="74">
        <v>1</v>
      </c>
      <c r="U115" s="84">
        <f t="shared" si="9"/>
        <v>80360</v>
      </c>
      <c r="V115" s="20">
        <v>46190</v>
      </c>
      <c r="W115" s="63"/>
    </row>
    <row r="116" spans="1:30" ht="22.5" customHeight="1">
      <c r="A116" s="61">
        <v>68</v>
      </c>
      <c r="B116" s="17" t="s">
        <v>42</v>
      </c>
      <c r="C116" s="63" t="s">
        <v>243</v>
      </c>
      <c r="D116" s="65">
        <v>46178</v>
      </c>
      <c r="E116" s="63" t="s">
        <v>7</v>
      </c>
      <c r="F116" s="65">
        <v>46181</v>
      </c>
      <c r="G116" s="65">
        <v>46182</v>
      </c>
      <c r="H116" s="5" t="s">
        <v>309</v>
      </c>
      <c r="I116" s="63" t="s">
        <v>2</v>
      </c>
      <c r="J116" s="63" t="s">
        <v>181</v>
      </c>
      <c r="K116" s="63" t="s">
        <v>7</v>
      </c>
      <c r="L116" s="5" t="s">
        <v>310</v>
      </c>
      <c r="M116" s="160">
        <v>2008</v>
      </c>
      <c r="N116" s="189">
        <v>2007</v>
      </c>
      <c r="O116" s="203">
        <v>1871</v>
      </c>
      <c r="P116" s="203">
        <v>23</v>
      </c>
      <c r="Q116" s="203">
        <v>6</v>
      </c>
      <c r="R116" s="190">
        <v>107</v>
      </c>
      <c r="S116" s="158">
        <v>1871</v>
      </c>
      <c r="T116" s="134">
        <v>0.93223716990533134</v>
      </c>
      <c r="U116" s="84">
        <f>S116*2</f>
        <v>3742</v>
      </c>
      <c r="V116" s="20">
        <v>46190</v>
      </c>
      <c r="W116" s="63"/>
    </row>
    <row r="117" spans="1:30" ht="22.5" customHeight="1">
      <c r="A117" s="61">
        <v>69</v>
      </c>
      <c r="B117" s="61" t="s">
        <v>230</v>
      </c>
      <c r="C117" s="63" t="s">
        <v>311</v>
      </c>
      <c r="D117" s="65">
        <v>46171</v>
      </c>
      <c r="E117" s="63" t="s">
        <v>6</v>
      </c>
      <c r="F117" s="65">
        <v>46174</v>
      </c>
      <c r="G117" s="65">
        <v>46175</v>
      </c>
      <c r="H117" s="63" t="s">
        <v>312</v>
      </c>
      <c r="I117" s="63" t="s">
        <v>0</v>
      </c>
      <c r="J117" s="63" t="s">
        <v>181</v>
      </c>
      <c r="K117" s="63" t="s">
        <v>7</v>
      </c>
      <c r="L117" s="5" t="s">
        <v>265</v>
      </c>
      <c r="M117" s="166">
        <v>28</v>
      </c>
      <c r="N117" s="189">
        <v>28</v>
      </c>
      <c r="O117" s="203">
        <v>28</v>
      </c>
      <c r="P117" s="203">
        <v>0</v>
      </c>
      <c r="Q117" s="203">
        <v>0</v>
      </c>
      <c r="R117" s="190">
        <v>0</v>
      </c>
      <c r="S117" s="166">
        <v>112</v>
      </c>
      <c r="T117" s="137">
        <v>1</v>
      </c>
      <c r="U117" s="84">
        <f t="shared" si="9"/>
        <v>560</v>
      </c>
      <c r="V117" s="20">
        <v>46184</v>
      </c>
      <c r="W117" s="63"/>
    </row>
    <row r="118" spans="1:30" ht="22.5" customHeight="1">
      <c r="A118" s="61">
        <v>70</v>
      </c>
      <c r="B118" s="61" t="s">
        <v>230</v>
      </c>
      <c r="C118" s="63" t="s">
        <v>313</v>
      </c>
      <c r="D118" s="65">
        <v>46169</v>
      </c>
      <c r="E118" s="63" t="s">
        <v>6</v>
      </c>
      <c r="F118" s="65">
        <v>46176</v>
      </c>
      <c r="G118" s="65">
        <v>46176</v>
      </c>
      <c r="H118" s="63" t="s">
        <v>314</v>
      </c>
      <c r="I118" s="63" t="s">
        <v>0</v>
      </c>
      <c r="J118" s="65">
        <v>46178</v>
      </c>
      <c r="K118" s="63" t="s">
        <v>7</v>
      </c>
      <c r="L118" s="5" t="s">
        <v>315</v>
      </c>
      <c r="M118" s="166">
        <v>174</v>
      </c>
      <c r="N118" s="189">
        <v>174</v>
      </c>
      <c r="O118" s="203">
        <v>174</v>
      </c>
      <c r="P118" s="203">
        <v>0</v>
      </c>
      <c r="Q118" s="203">
        <v>0</v>
      </c>
      <c r="R118" s="190">
        <v>0</v>
      </c>
      <c r="S118" s="166">
        <v>870</v>
      </c>
      <c r="T118" s="137">
        <v>1</v>
      </c>
      <c r="U118" s="84">
        <f t="shared" si="9"/>
        <v>4350</v>
      </c>
      <c r="V118" s="20">
        <v>46183</v>
      </c>
      <c r="W118" s="63"/>
    </row>
    <row r="119" spans="1:30" ht="22.5" customHeight="1">
      <c r="A119" s="61">
        <v>71</v>
      </c>
      <c r="B119" s="61" t="s">
        <v>230</v>
      </c>
      <c r="C119" s="63" t="s">
        <v>311</v>
      </c>
      <c r="D119" s="65">
        <v>46171</v>
      </c>
      <c r="E119" s="63" t="s">
        <v>6</v>
      </c>
      <c r="F119" s="65">
        <v>46174</v>
      </c>
      <c r="G119" s="65">
        <v>46175</v>
      </c>
      <c r="H119" s="5" t="s">
        <v>316</v>
      </c>
      <c r="I119" s="63" t="s">
        <v>0</v>
      </c>
      <c r="J119" s="63" t="s">
        <v>181</v>
      </c>
      <c r="K119" s="63" t="s">
        <v>7</v>
      </c>
      <c r="L119" s="5" t="s">
        <v>265</v>
      </c>
      <c r="M119" s="166">
        <v>28</v>
      </c>
      <c r="N119" s="189">
        <v>28</v>
      </c>
      <c r="O119" s="203">
        <v>28</v>
      </c>
      <c r="P119" s="203">
        <v>0</v>
      </c>
      <c r="Q119" s="203">
        <v>0</v>
      </c>
      <c r="R119" s="190">
        <v>0</v>
      </c>
      <c r="S119" s="159">
        <v>112</v>
      </c>
      <c r="T119" s="137">
        <v>1</v>
      </c>
      <c r="U119" s="84">
        <f t="shared" si="9"/>
        <v>560</v>
      </c>
      <c r="V119" s="20">
        <v>46184</v>
      </c>
      <c r="W119" s="63"/>
    </row>
    <row r="120" spans="1:30" ht="22.5" customHeight="1">
      <c r="A120" s="61">
        <v>72</v>
      </c>
      <c r="B120" s="63" t="s">
        <v>266</v>
      </c>
      <c r="C120" s="63" t="s">
        <v>303</v>
      </c>
      <c r="D120" s="65">
        <v>46178</v>
      </c>
      <c r="E120" s="63" t="s">
        <v>7</v>
      </c>
      <c r="F120" s="65">
        <v>46177</v>
      </c>
      <c r="G120" s="65">
        <v>46178</v>
      </c>
      <c r="H120" s="63" t="s">
        <v>304</v>
      </c>
      <c r="I120" s="63" t="s">
        <v>0</v>
      </c>
      <c r="J120" s="63" t="s">
        <v>181</v>
      </c>
      <c r="K120" s="63" t="s">
        <v>7</v>
      </c>
      <c r="L120" s="5" t="s">
        <v>305</v>
      </c>
      <c r="M120" s="160">
        <v>11712</v>
      </c>
      <c r="N120" s="184">
        <v>11712</v>
      </c>
      <c r="O120" s="202">
        <v>11712</v>
      </c>
      <c r="P120" s="203">
        <v>0</v>
      </c>
      <c r="Q120" s="203">
        <v>0</v>
      </c>
      <c r="R120" s="190">
        <v>0</v>
      </c>
      <c r="S120" s="158">
        <v>11712</v>
      </c>
      <c r="T120" s="66">
        <v>0.998</v>
      </c>
      <c r="U120" s="84">
        <f t="shared" si="9"/>
        <v>58560</v>
      </c>
      <c r="V120" s="20">
        <v>46189</v>
      </c>
      <c r="W120" s="63"/>
    </row>
    <row r="121" spans="1:30" ht="22.5" customHeight="1">
      <c r="A121" s="61">
        <v>72</v>
      </c>
      <c r="B121" s="63" t="s">
        <v>266</v>
      </c>
      <c r="C121" s="63" t="s">
        <v>317</v>
      </c>
      <c r="D121" s="65">
        <v>46178</v>
      </c>
      <c r="E121" s="63" t="s">
        <v>7</v>
      </c>
      <c r="F121" s="65">
        <v>46177</v>
      </c>
      <c r="G121" s="65">
        <v>46178</v>
      </c>
      <c r="H121" s="63" t="s">
        <v>307</v>
      </c>
      <c r="I121" s="63" t="s">
        <v>0</v>
      </c>
      <c r="J121" s="63" t="s">
        <v>181</v>
      </c>
      <c r="K121" s="63" t="s">
        <v>7</v>
      </c>
      <c r="L121" s="5" t="s">
        <v>305</v>
      </c>
      <c r="M121" s="166">
        <v>39</v>
      </c>
      <c r="N121" s="189">
        <v>39</v>
      </c>
      <c r="O121" s="203">
        <v>39</v>
      </c>
      <c r="P121" s="203">
        <v>0</v>
      </c>
      <c r="Q121" s="203">
        <v>0</v>
      </c>
      <c r="R121" s="190">
        <v>0</v>
      </c>
      <c r="S121" s="159">
        <v>234</v>
      </c>
      <c r="T121" s="137">
        <v>1</v>
      </c>
      <c r="U121" s="84">
        <f t="shared" si="9"/>
        <v>1170</v>
      </c>
      <c r="V121" s="20">
        <v>46189</v>
      </c>
      <c r="W121" s="63"/>
    </row>
    <row r="122" spans="1:30" ht="22.5" customHeight="1">
      <c r="A122" s="61">
        <v>74</v>
      </c>
      <c r="B122" s="61" t="s">
        <v>230</v>
      </c>
      <c r="C122" s="63" t="s">
        <v>300</v>
      </c>
      <c r="D122" s="65">
        <v>46182</v>
      </c>
      <c r="E122" s="63" t="s">
        <v>7</v>
      </c>
      <c r="F122" s="65">
        <v>46183</v>
      </c>
      <c r="G122" s="65">
        <v>46185</v>
      </c>
      <c r="H122" s="63" t="s">
        <v>318</v>
      </c>
      <c r="I122" s="63" t="s">
        <v>0</v>
      </c>
      <c r="J122" s="63" t="s">
        <v>181</v>
      </c>
      <c r="K122" s="63" t="s">
        <v>7</v>
      </c>
      <c r="L122" s="5" t="s">
        <v>319</v>
      </c>
      <c r="M122" s="166">
        <v>54</v>
      </c>
      <c r="N122" s="189">
        <v>54</v>
      </c>
      <c r="O122" s="203">
        <v>54</v>
      </c>
      <c r="P122" s="203">
        <v>0</v>
      </c>
      <c r="Q122" s="203">
        <v>0</v>
      </c>
      <c r="R122" s="190">
        <v>0</v>
      </c>
      <c r="S122" s="159">
        <v>284</v>
      </c>
      <c r="T122" s="137">
        <v>1</v>
      </c>
      <c r="U122" s="84">
        <f t="shared" si="9"/>
        <v>1420</v>
      </c>
      <c r="V122" s="20">
        <v>46192</v>
      </c>
      <c r="W122" s="63"/>
    </row>
    <row r="123" spans="1:30" ht="22.5" customHeight="1">
      <c r="A123" s="61">
        <v>75</v>
      </c>
      <c r="B123" s="61" t="s">
        <v>230</v>
      </c>
      <c r="C123" s="63" t="s">
        <v>297</v>
      </c>
      <c r="D123" s="65">
        <v>46182</v>
      </c>
      <c r="E123" s="63" t="s">
        <v>7</v>
      </c>
      <c r="F123" s="65">
        <v>46183</v>
      </c>
      <c r="G123" s="65">
        <v>46185</v>
      </c>
      <c r="H123" s="63" t="s">
        <v>298</v>
      </c>
      <c r="I123" s="63" t="s">
        <v>0</v>
      </c>
      <c r="J123" s="63" t="s">
        <v>181</v>
      </c>
      <c r="K123" s="63" t="s">
        <v>7</v>
      </c>
      <c r="L123" s="5" t="s">
        <v>299</v>
      </c>
      <c r="M123" s="166">
        <v>23</v>
      </c>
      <c r="N123" s="189">
        <v>23</v>
      </c>
      <c r="O123" s="203">
        <v>23</v>
      </c>
      <c r="P123" s="203">
        <v>0</v>
      </c>
      <c r="Q123" s="203">
        <v>0</v>
      </c>
      <c r="R123" s="190">
        <v>0</v>
      </c>
      <c r="S123" s="159">
        <v>124</v>
      </c>
      <c r="T123" s="6">
        <v>1</v>
      </c>
      <c r="U123" s="84">
        <f t="shared" si="9"/>
        <v>620</v>
      </c>
      <c r="V123" s="20">
        <v>46192</v>
      </c>
      <c r="W123" s="63"/>
    </row>
    <row r="124" spans="1:30" ht="22.5" customHeight="1">
      <c r="A124" s="61">
        <v>76</v>
      </c>
      <c r="B124" s="17" t="s">
        <v>42</v>
      </c>
      <c r="C124" s="63" t="s">
        <v>320</v>
      </c>
      <c r="D124" s="65">
        <v>46189</v>
      </c>
      <c r="E124" s="63" t="s">
        <v>7</v>
      </c>
      <c r="F124" s="65">
        <v>46189</v>
      </c>
      <c r="G124" s="65">
        <v>46189</v>
      </c>
      <c r="H124" s="5" t="s">
        <v>321</v>
      </c>
      <c r="I124" s="63" t="s">
        <v>2</v>
      </c>
      <c r="J124" s="65">
        <v>46190</v>
      </c>
      <c r="K124" s="63" t="s">
        <v>7</v>
      </c>
      <c r="L124" s="63" t="s">
        <v>322</v>
      </c>
      <c r="M124" s="160">
        <v>1124</v>
      </c>
      <c r="N124" s="208">
        <v>1124</v>
      </c>
      <c r="O124" s="204">
        <v>1047</v>
      </c>
      <c r="P124" s="205">
        <v>8</v>
      </c>
      <c r="Q124" s="203">
        <v>5</v>
      </c>
      <c r="R124" s="190">
        <v>64</v>
      </c>
      <c r="S124" s="158">
        <v>1047</v>
      </c>
      <c r="T124" s="134">
        <v>0.93149466192170816</v>
      </c>
      <c r="U124" s="84">
        <f>S124*2</f>
        <v>2094</v>
      </c>
      <c r="V124" s="65">
        <v>46206</v>
      </c>
      <c r="W124" s="63"/>
    </row>
    <row r="125" spans="1:30" ht="22.5" customHeight="1">
      <c r="A125" s="61">
        <v>76</v>
      </c>
      <c r="B125" s="17" t="s">
        <v>42</v>
      </c>
      <c r="C125" s="63" t="s">
        <v>320</v>
      </c>
      <c r="D125" s="65">
        <v>46189</v>
      </c>
      <c r="E125" s="63" t="s">
        <v>7</v>
      </c>
      <c r="F125" s="65">
        <v>46189</v>
      </c>
      <c r="G125" s="65">
        <v>46196</v>
      </c>
      <c r="H125" s="5" t="s">
        <v>323</v>
      </c>
      <c r="I125" s="63" t="s">
        <v>2</v>
      </c>
      <c r="J125" s="65">
        <v>46196</v>
      </c>
      <c r="K125" s="63" t="s">
        <v>7</v>
      </c>
      <c r="L125" s="63" t="s">
        <v>322</v>
      </c>
      <c r="M125" s="166">
        <v>604</v>
      </c>
      <c r="N125" s="209">
        <v>604</v>
      </c>
      <c r="O125" s="205">
        <v>552</v>
      </c>
      <c r="P125" s="203">
        <v>3</v>
      </c>
      <c r="Q125" s="203">
        <v>4</v>
      </c>
      <c r="R125" s="190">
        <v>45</v>
      </c>
      <c r="S125" s="159">
        <v>552</v>
      </c>
      <c r="T125" s="66">
        <v>0.92979999999999996</v>
      </c>
      <c r="U125" s="84">
        <f t="shared" ref="U125:U126" si="10">S125*2</f>
        <v>1104</v>
      </c>
      <c r="V125" s="65">
        <v>46206</v>
      </c>
      <c r="W125" s="63"/>
    </row>
    <row r="126" spans="1:30" ht="22.5" customHeight="1">
      <c r="A126" s="61">
        <v>76</v>
      </c>
      <c r="B126" s="17" t="s">
        <v>42</v>
      </c>
      <c r="C126" s="63" t="s">
        <v>320</v>
      </c>
      <c r="D126" s="65">
        <v>46189</v>
      </c>
      <c r="E126" s="63" t="s">
        <v>7</v>
      </c>
      <c r="F126" s="65">
        <v>46189</v>
      </c>
      <c r="G126" s="65">
        <v>46200</v>
      </c>
      <c r="H126" s="5" t="s">
        <v>324</v>
      </c>
      <c r="I126" s="63" t="s">
        <v>2</v>
      </c>
      <c r="J126" s="65">
        <v>46200</v>
      </c>
      <c r="K126" s="63" t="s">
        <v>7</v>
      </c>
      <c r="L126" s="63" t="s">
        <v>322</v>
      </c>
      <c r="M126" s="166">
        <v>513</v>
      </c>
      <c r="N126" s="209">
        <v>513</v>
      </c>
      <c r="O126" s="205">
        <v>477</v>
      </c>
      <c r="P126" s="203">
        <v>0</v>
      </c>
      <c r="Q126" s="203">
        <v>4</v>
      </c>
      <c r="R126" s="190">
        <v>32</v>
      </c>
      <c r="S126" s="160">
        <v>1047</v>
      </c>
      <c r="T126" s="134">
        <v>0.93149466192170816</v>
      </c>
      <c r="U126" s="84">
        <f t="shared" si="10"/>
        <v>2094</v>
      </c>
      <c r="V126" s="65">
        <v>46206</v>
      </c>
      <c r="W126" s="63"/>
    </row>
    <row r="127" spans="1:30" ht="22.5" customHeight="1">
      <c r="A127" s="61">
        <v>77</v>
      </c>
      <c r="B127" s="17" t="s">
        <v>42</v>
      </c>
      <c r="C127" s="63" t="s">
        <v>325</v>
      </c>
      <c r="D127" s="65">
        <v>46224</v>
      </c>
      <c r="E127" s="63" t="s">
        <v>8</v>
      </c>
      <c r="F127" s="65">
        <v>46225</v>
      </c>
      <c r="G127" s="65">
        <v>46225</v>
      </c>
      <c r="H127" s="63" t="s">
        <v>326</v>
      </c>
      <c r="I127" s="63" t="s">
        <v>0</v>
      </c>
      <c r="J127" s="65">
        <v>46226</v>
      </c>
      <c r="K127" s="63" t="s">
        <v>8</v>
      </c>
      <c r="L127" s="5" t="s">
        <v>327</v>
      </c>
      <c r="M127" s="166">
        <v>805</v>
      </c>
      <c r="N127" s="209">
        <v>805</v>
      </c>
      <c r="O127" s="205">
        <v>795</v>
      </c>
      <c r="P127" s="203">
        <v>0</v>
      </c>
      <c r="Q127" s="203">
        <v>0</v>
      </c>
      <c r="R127" s="190">
        <v>10</v>
      </c>
      <c r="S127" s="161">
        <v>1590</v>
      </c>
      <c r="T127" s="134">
        <v>0.98757763975155277</v>
      </c>
      <c r="U127" s="84">
        <f t="shared" si="9"/>
        <v>7950</v>
      </c>
      <c r="V127" s="65">
        <v>46237</v>
      </c>
      <c r="W127" s="63"/>
    </row>
    <row r="128" spans="1:30" s="115" customFormat="1" ht="22.5" customHeight="1">
      <c r="A128" s="110">
        <v>78</v>
      </c>
      <c r="B128" s="110" t="s">
        <v>178</v>
      </c>
      <c r="C128" s="110" t="s">
        <v>328</v>
      </c>
      <c r="D128" s="111">
        <v>46230</v>
      </c>
      <c r="E128" s="110" t="s">
        <v>8</v>
      </c>
      <c r="F128" s="111">
        <v>46226</v>
      </c>
      <c r="G128" s="111">
        <v>46226</v>
      </c>
      <c r="H128" s="110" t="s">
        <v>329</v>
      </c>
      <c r="I128" s="110" t="s">
        <v>0</v>
      </c>
      <c r="J128" s="111">
        <v>46227</v>
      </c>
      <c r="K128" s="110" t="s">
        <v>8</v>
      </c>
      <c r="L128" s="112" t="s">
        <v>330</v>
      </c>
      <c r="M128" s="168">
        <v>2186</v>
      </c>
      <c r="N128" s="184">
        <v>2186</v>
      </c>
      <c r="O128" s="184">
        <v>2183</v>
      </c>
      <c r="P128" s="189">
        <v>0</v>
      </c>
      <c r="Q128" s="189">
        <v>0</v>
      </c>
      <c r="R128" s="190">
        <v>3</v>
      </c>
      <c r="S128" s="167">
        <v>6549</v>
      </c>
      <c r="T128" s="138">
        <v>0.99862763037511437</v>
      </c>
      <c r="U128" s="113">
        <f t="shared" si="9"/>
        <v>32745</v>
      </c>
      <c r="V128" s="111">
        <v>46238</v>
      </c>
      <c r="W128" s="110"/>
      <c r="X128" s="114"/>
      <c r="Y128" s="114"/>
      <c r="Z128" s="114"/>
      <c r="AA128" s="114"/>
      <c r="AB128" s="114"/>
      <c r="AC128" s="114"/>
      <c r="AD128" s="114"/>
    </row>
    <row r="129" spans="1:30" s="115" customFormat="1" ht="22.5" customHeight="1">
      <c r="A129" s="110">
        <v>79</v>
      </c>
      <c r="B129" s="110" t="s">
        <v>178</v>
      </c>
      <c r="C129" s="110" t="s">
        <v>331</v>
      </c>
      <c r="D129" s="111">
        <v>46226</v>
      </c>
      <c r="E129" s="110" t="s">
        <v>8</v>
      </c>
      <c r="F129" s="111">
        <v>46230</v>
      </c>
      <c r="G129" s="111">
        <v>46231</v>
      </c>
      <c r="H129" s="110" t="s">
        <v>332</v>
      </c>
      <c r="I129" s="110" t="s">
        <v>0</v>
      </c>
      <c r="J129" s="111">
        <v>46234</v>
      </c>
      <c r="K129" s="110" t="s">
        <v>8</v>
      </c>
      <c r="L129" s="112" t="s">
        <v>333</v>
      </c>
      <c r="M129" s="168">
        <v>10149</v>
      </c>
      <c r="N129" s="208">
        <v>10149</v>
      </c>
      <c r="O129" s="208">
        <v>10142</v>
      </c>
      <c r="P129" s="189">
        <v>0</v>
      </c>
      <c r="Q129" s="189">
        <v>0</v>
      </c>
      <c r="R129" s="190">
        <v>7</v>
      </c>
      <c r="S129" s="168">
        <v>30426</v>
      </c>
      <c r="T129" s="138">
        <v>0.99931027687456897</v>
      </c>
      <c r="U129" s="113">
        <f t="shared" si="9"/>
        <v>152130</v>
      </c>
      <c r="V129" s="111">
        <v>46238</v>
      </c>
      <c r="W129" s="110"/>
      <c r="X129" s="114"/>
      <c r="Y129" s="114"/>
      <c r="Z129" s="114"/>
      <c r="AA129" s="114"/>
      <c r="AB129" s="114"/>
      <c r="AC129" s="114"/>
      <c r="AD129" s="114"/>
    </row>
    <row r="130" spans="1:30" s="115" customFormat="1" ht="22.5" customHeight="1">
      <c r="A130" s="110">
        <v>79</v>
      </c>
      <c r="B130" s="110" t="s">
        <v>178</v>
      </c>
      <c r="C130" s="110" t="s">
        <v>334</v>
      </c>
      <c r="D130" s="111">
        <v>46226</v>
      </c>
      <c r="E130" s="110" t="s">
        <v>8</v>
      </c>
      <c r="F130" s="111">
        <v>46232</v>
      </c>
      <c r="G130" s="111">
        <v>46233</v>
      </c>
      <c r="H130" s="110" t="s">
        <v>335</v>
      </c>
      <c r="I130" s="110" t="s">
        <v>0</v>
      </c>
      <c r="J130" s="111">
        <v>46234</v>
      </c>
      <c r="K130" s="110" t="s">
        <v>8</v>
      </c>
      <c r="L130" s="112" t="s">
        <v>333</v>
      </c>
      <c r="M130" s="168">
        <v>2144</v>
      </c>
      <c r="N130" s="208">
        <v>2144</v>
      </c>
      <c r="O130" s="208">
        <v>2142</v>
      </c>
      <c r="P130" s="189">
        <v>0</v>
      </c>
      <c r="Q130" s="189">
        <v>0</v>
      </c>
      <c r="R130" s="190">
        <v>2</v>
      </c>
      <c r="S130" s="168">
        <v>6426</v>
      </c>
      <c r="T130" s="138">
        <v>0.99906716417910446</v>
      </c>
      <c r="U130" s="113">
        <f t="shared" si="9"/>
        <v>32130</v>
      </c>
      <c r="V130" s="111">
        <v>46238</v>
      </c>
      <c r="W130" s="110"/>
      <c r="X130" s="114"/>
      <c r="Y130" s="114"/>
      <c r="Z130" s="114"/>
      <c r="AA130" s="114"/>
      <c r="AB130" s="114"/>
      <c r="AC130" s="114"/>
      <c r="AD130" s="114"/>
    </row>
    <row r="131" spans="1:30" ht="22.5" customHeight="1">
      <c r="A131" s="61">
        <v>80</v>
      </c>
      <c r="B131" s="63" t="s">
        <v>336</v>
      </c>
      <c r="C131" s="63" t="s">
        <v>337</v>
      </c>
      <c r="D131" s="65">
        <v>46210</v>
      </c>
      <c r="E131" s="63" t="s">
        <v>8</v>
      </c>
      <c r="F131" s="65">
        <v>46210</v>
      </c>
      <c r="G131" s="65">
        <v>46210</v>
      </c>
      <c r="H131" s="210" t="s">
        <v>338</v>
      </c>
      <c r="I131" s="63" t="s">
        <v>0</v>
      </c>
      <c r="J131" s="65">
        <v>46210</v>
      </c>
      <c r="K131" s="63" t="s">
        <v>8</v>
      </c>
      <c r="L131" s="63">
        <v>3205012494</v>
      </c>
      <c r="M131" s="159">
        <v>1</v>
      </c>
      <c r="N131" s="189">
        <v>1</v>
      </c>
      <c r="O131" s="203">
        <v>1</v>
      </c>
      <c r="P131" s="203">
        <v>0</v>
      </c>
      <c r="Q131" s="203">
        <v>0</v>
      </c>
      <c r="R131" s="190">
        <v>0</v>
      </c>
      <c r="S131" s="159">
        <v>3</v>
      </c>
      <c r="T131" s="137">
        <v>1</v>
      </c>
      <c r="U131" s="84">
        <f t="shared" si="9"/>
        <v>15</v>
      </c>
      <c r="V131" s="65">
        <v>46224</v>
      </c>
      <c r="W131" s="63"/>
    </row>
    <row r="132" spans="1:30" ht="22.5" customHeight="1">
      <c r="A132" s="61">
        <v>80</v>
      </c>
      <c r="B132" s="63" t="s">
        <v>336</v>
      </c>
      <c r="C132" s="63" t="s">
        <v>337</v>
      </c>
      <c r="D132" s="65">
        <v>46210</v>
      </c>
      <c r="E132" s="63" t="s">
        <v>8</v>
      </c>
      <c r="F132" s="65">
        <v>46210</v>
      </c>
      <c r="G132" s="65">
        <v>46210</v>
      </c>
      <c r="H132" s="210" t="s">
        <v>339</v>
      </c>
      <c r="I132" s="63" t="s">
        <v>0</v>
      </c>
      <c r="J132" s="65">
        <v>46210</v>
      </c>
      <c r="K132" s="63" t="s">
        <v>8</v>
      </c>
      <c r="L132" s="63">
        <v>3228177542</v>
      </c>
      <c r="M132" s="159">
        <v>1</v>
      </c>
      <c r="N132" s="189">
        <v>1</v>
      </c>
      <c r="O132" s="203">
        <v>1</v>
      </c>
      <c r="P132" s="203">
        <v>0</v>
      </c>
      <c r="Q132" s="203">
        <v>0</v>
      </c>
      <c r="R132" s="190">
        <v>0</v>
      </c>
      <c r="S132" s="159">
        <v>3</v>
      </c>
      <c r="T132" s="137">
        <v>1</v>
      </c>
      <c r="U132" s="84">
        <f t="shared" si="9"/>
        <v>15</v>
      </c>
      <c r="V132" s="65">
        <v>46224</v>
      </c>
      <c r="W132" s="63"/>
    </row>
    <row r="133" spans="1:30" ht="22.5" customHeight="1">
      <c r="A133" s="61">
        <v>80</v>
      </c>
      <c r="B133" s="63" t="s">
        <v>336</v>
      </c>
      <c r="C133" s="63" t="s">
        <v>337</v>
      </c>
      <c r="D133" s="65">
        <v>46210</v>
      </c>
      <c r="E133" s="63" t="s">
        <v>8</v>
      </c>
      <c r="F133" s="65">
        <v>46210</v>
      </c>
      <c r="G133" s="65">
        <v>46210</v>
      </c>
      <c r="H133" s="210" t="s">
        <v>340</v>
      </c>
      <c r="I133" s="63" t="s">
        <v>0</v>
      </c>
      <c r="J133" s="65">
        <v>46210</v>
      </c>
      <c r="K133" s="63" t="s">
        <v>8</v>
      </c>
      <c r="L133" s="63">
        <v>3016376816</v>
      </c>
      <c r="M133" s="159">
        <v>1</v>
      </c>
      <c r="N133" s="189">
        <v>1</v>
      </c>
      <c r="O133" s="203">
        <v>1</v>
      </c>
      <c r="P133" s="203">
        <v>0</v>
      </c>
      <c r="Q133" s="203">
        <v>0</v>
      </c>
      <c r="R133" s="190">
        <v>0</v>
      </c>
      <c r="S133" s="159">
        <v>3</v>
      </c>
      <c r="T133" s="137">
        <v>1</v>
      </c>
      <c r="U133" s="84">
        <f t="shared" si="9"/>
        <v>15</v>
      </c>
      <c r="V133" s="65">
        <v>46224</v>
      </c>
      <c r="W133" s="63"/>
    </row>
    <row r="134" spans="1:30" ht="22.5" customHeight="1">
      <c r="A134" s="61">
        <v>81</v>
      </c>
      <c r="B134" s="17" t="s">
        <v>88</v>
      </c>
      <c r="C134" s="63" t="s">
        <v>341</v>
      </c>
      <c r="D134" s="65">
        <v>46209</v>
      </c>
      <c r="E134" s="63" t="s">
        <v>8</v>
      </c>
      <c r="F134" s="65">
        <v>46210</v>
      </c>
      <c r="G134" s="65">
        <v>46210</v>
      </c>
      <c r="H134" s="63" t="s">
        <v>342</v>
      </c>
      <c r="I134" s="63" t="s">
        <v>0</v>
      </c>
      <c r="J134" s="65">
        <v>46213</v>
      </c>
      <c r="K134" s="63" t="s">
        <v>8</v>
      </c>
      <c r="L134" s="5" t="s">
        <v>343</v>
      </c>
      <c r="M134" s="159">
        <v>635</v>
      </c>
      <c r="N134" s="189">
        <v>635</v>
      </c>
      <c r="O134" s="203">
        <v>635</v>
      </c>
      <c r="P134" s="203">
        <v>0</v>
      </c>
      <c r="Q134" s="203">
        <v>0</v>
      </c>
      <c r="R134" s="190">
        <v>0</v>
      </c>
      <c r="S134" s="158">
        <v>2540</v>
      </c>
      <c r="T134" s="137">
        <v>1</v>
      </c>
      <c r="U134" s="84">
        <f t="shared" si="9"/>
        <v>12700</v>
      </c>
      <c r="V134" s="65">
        <v>46224</v>
      </c>
      <c r="W134" s="63"/>
    </row>
    <row r="135" spans="1:30" ht="22.5" customHeight="1">
      <c r="A135" s="61">
        <v>82</v>
      </c>
      <c r="B135" s="17" t="s">
        <v>42</v>
      </c>
      <c r="C135" s="63" t="s">
        <v>344</v>
      </c>
      <c r="D135" s="65">
        <v>46227</v>
      </c>
      <c r="E135" s="63" t="s">
        <v>8</v>
      </c>
      <c r="F135" s="65">
        <v>46227</v>
      </c>
      <c r="G135" s="65">
        <v>46228</v>
      </c>
      <c r="H135" s="5" t="s">
        <v>345</v>
      </c>
      <c r="I135" s="63" t="s">
        <v>0</v>
      </c>
      <c r="J135" s="65">
        <v>46232</v>
      </c>
      <c r="K135" s="63" t="s">
        <v>8</v>
      </c>
      <c r="L135" s="5" t="s">
        <v>346</v>
      </c>
      <c r="M135" s="170">
        <v>2009</v>
      </c>
      <c r="N135" s="208">
        <v>2009</v>
      </c>
      <c r="O135" s="211">
        <v>2006</v>
      </c>
      <c r="P135" s="203">
        <v>0</v>
      </c>
      <c r="Q135" s="203">
        <v>0</v>
      </c>
      <c r="R135" s="190">
        <v>3</v>
      </c>
      <c r="S135" s="169">
        <v>12036</v>
      </c>
      <c r="T135" s="134">
        <v>0.99850671976107519</v>
      </c>
      <c r="U135" s="84">
        <f t="shared" si="9"/>
        <v>60180</v>
      </c>
      <c r="V135" s="65">
        <v>46239</v>
      </c>
      <c r="W135" s="63"/>
    </row>
    <row r="136" spans="1:30" ht="22.5" customHeight="1">
      <c r="A136" s="61">
        <v>82</v>
      </c>
      <c r="B136" s="17" t="s">
        <v>42</v>
      </c>
      <c r="C136" s="63" t="s">
        <v>347</v>
      </c>
      <c r="D136" s="65">
        <v>46227</v>
      </c>
      <c r="E136" s="63" t="s">
        <v>8</v>
      </c>
      <c r="F136" s="65">
        <v>46227</v>
      </c>
      <c r="G136" s="65">
        <v>46230</v>
      </c>
      <c r="H136" s="63" t="s">
        <v>345</v>
      </c>
      <c r="I136" s="63" t="s">
        <v>0</v>
      </c>
      <c r="J136" s="65">
        <v>46232</v>
      </c>
      <c r="K136" s="63" t="s">
        <v>8</v>
      </c>
      <c r="L136" s="5" t="s">
        <v>346</v>
      </c>
      <c r="M136" s="170">
        <v>2009</v>
      </c>
      <c r="N136" s="208">
        <v>2009</v>
      </c>
      <c r="O136" s="211">
        <v>2006</v>
      </c>
      <c r="P136" s="203">
        <v>0</v>
      </c>
      <c r="Q136" s="203">
        <v>0</v>
      </c>
      <c r="R136" s="190">
        <v>3</v>
      </c>
      <c r="S136" s="169">
        <v>12006</v>
      </c>
      <c r="T136" s="134">
        <v>0.9960179193628671</v>
      </c>
      <c r="U136" s="84">
        <f t="shared" si="9"/>
        <v>60030</v>
      </c>
      <c r="V136" s="65">
        <v>46239</v>
      </c>
      <c r="W136" s="63"/>
    </row>
    <row r="137" spans="1:30" ht="22.5" customHeight="1">
      <c r="A137" s="61">
        <v>82</v>
      </c>
      <c r="B137" s="17" t="s">
        <v>42</v>
      </c>
      <c r="C137" s="63" t="s">
        <v>348</v>
      </c>
      <c r="D137" s="65">
        <v>46227</v>
      </c>
      <c r="E137" s="63" t="s">
        <v>8</v>
      </c>
      <c r="F137" s="65">
        <v>46227</v>
      </c>
      <c r="G137" s="65">
        <v>46228</v>
      </c>
      <c r="H137" s="5" t="s">
        <v>349</v>
      </c>
      <c r="I137" s="63" t="s">
        <v>2</v>
      </c>
      <c r="J137" s="65">
        <v>46232</v>
      </c>
      <c r="K137" s="63" t="s">
        <v>8</v>
      </c>
      <c r="L137" s="5" t="s">
        <v>350</v>
      </c>
      <c r="M137" s="159">
        <v>316</v>
      </c>
      <c r="N137" s="189">
        <v>316</v>
      </c>
      <c r="O137" s="205">
        <v>298</v>
      </c>
      <c r="P137" s="203">
        <v>0</v>
      </c>
      <c r="Q137" s="203">
        <v>0</v>
      </c>
      <c r="R137" s="190">
        <v>18</v>
      </c>
      <c r="S137" s="166">
        <v>298</v>
      </c>
      <c r="T137" s="134">
        <v>0.99850671976107519</v>
      </c>
      <c r="U137" s="84">
        <f t="shared" si="9"/>
        <v>1490</v>
      </c>
      <c r="V137" s="65">
        <v>46239</v>
      </c>
      <c r="W137" s="63"/>
    </row>
    <row r="138" spans="1:30" ht="22.5" customHeight="1">
      <c r="A138" s="61">
        <v>83</v>
      </c>
      <c r="B138" s="61" t="s">
        <v>230</v>
      </c>
      <c r="C138" s="63" t="s">
        <v>351</v>
      </c>
      <c r="D138" s="65">
        <v>46219</v>
      </c>
      <c r="E138" s="63" t="s">
        <v>8</v>
      </c>
      <c r="F138" s="65">
        <v>46220</v>
      </c>
      <c r="G138" s="65">
        <v>46224</v>
      </c>
      <c r="H138" s="5" t="s">
        <v>352</v>
      </c>
      <c r="I138" s="63" t="s">
        <v>0</v>
      </c>
      <c r="J138" s="65">
        <v>46227</v>
      </c>
      <c r="K138" s="63" t="s">
        <v>8</v>
      </c>
      <c r="L138" s="5" t="s">
        <v>353</v>
      </c>
      <c r="M138" s="159">
        <v>961</v>
      </c>
      <c r="N138" s="189">
        <v>961</v>
      </c>
      <c r="O138" s="205">
        <v>950</v>
      </c>
      <c r="P138" s="203">
        <v>0</v>
      </c>
      <c r="Q138" s="203">
        <v>0</v>
      </c>
      <c r="R138" s="190">
        <v>11</v>
      </c>
      <c r="S138" s="159">
        <v>1900</v>
      </c>
      <c r="T138" s="134">
        <v>0.98855359001040588</v>
      </c>
      <c r="U138" s="84">
        <f t="shared" si="9"/>
        <v>9500</v>
      </c>
      <c r="V138" s="65">
        <v>46238</v>
      </c>
      <c r="W138" s="63"/>
    </row>
    <row r="139" spans="1:30" ht="22.5" customHeight="1">
      <c r="A139" s="61">
        <v>83</v>
      </c>
      <c r="B139" s="61" t="s">
        <v>230</v>
      </c>
      <c r="C139" s="63" t="s">
        <v>351</v>
      </c>
      <c r="D139" s="65">
        <v>46219</v>
      </c>
      <c r="E139" s="63" t="s">
        <v>8</v>
      </c>
      <c r="F139" s="65">
        <v>46220</v>
      </c>
      <c r="G139" s="65">
        <v>46227</v>
      </c>
      <c r="H139" s="5" t="s">
        <v>352</v>
      </c>
      <c r="I139" s="63" t="s">
        <v>0</v>
      </c>
      <c r="J139" s="65">
        <v>46227</v>
      </c>
      <c r="K139" s="63" t="s">
        <v>8</v>
      </c>
      <c r="L139" s="5" t="s">
        <v>353</v>
      </c>
      <c r="M139" s="159">
        <v>1015</v>
      </c>
      <c r="N139" s="189">
        <v>1015</v>
      </c>
      <c r="O139" s="203">
        <v>1014</v>
      </c>
      <c r="P139" s="203">
        <v>0</v>
      </c>
      <c r="Q139" s="203">
        <v>0</v>
      </c>
      <c r="R139" s="190">
        <v>1</v>
      </c>
      <c r="S139" s="159">
        <v>4056</v>
      </c>
      <c r="T139" s="134">
        <v>0.9990147783251232</v>
      </c>
      <c r="U139" s="84">
        <f t="shared" si="9"/>
        <v>20280</v>
      </c>
      <c r="V139" s="65">
        <v>46238</v>
      </c>
      <c r="W139" s="63"/>
    </row>
    <row r="140" spans="1:30" ht="22.5" customHeight="1">
      <c r="A140" s="61">
        <v>84</v>
      </c>
      <c r="B140" s="17" t="s">
        <v>42</v>
      </c>
      <c r="C140" s="63" t="s">
        <v>354</v>
      </c>
      <c r="D140" s="65">
        <v>46224</v>
      </c>
      <c r="E140" s="63" t="s">
        <v>8</v>
      </c>
      <c r="F140" s="65">
        <v>46232</v>
      </c>
      <c r="G140" s="65">
        <v>46240</v>
      </c>
      <c r="H140" s="63" t="s">
        <v>355</v>
      </c>
      <c r="I140" s="63" t="s">
        <v>0</v>
      </c>
      <c r="J140" s="63" t="s">
        <v>181</v>
      </c>
      <c r="K140" s="63" t="s">
        <v>9</v>
      </c>
      <c r="L140" s="5" t="s">
        <v>346</v>
      </c>
      <c r="M140" s="159">
        <v>2000</v>
      </c>
      <c r="N140" s="189">
        <v>2000</v>
      </c>
      <c r="O140" s="203">
        <v>1998</v>
      </c>
      <c r="P140" s="203">
        <v>0</v>
      </c>
      <c r="Q140" s="203">
        <v>0</v>
      </c>
      <c r="R140" s="190">
        <v>2</v>
      </c>
      <c r="S140" s="160">
        <v>11988</v>
      </c>
      <c r="T140" s="134">
        <v>0.999</v>
      </c>
      <c r="U140" s="84">
        <f t="shared" si="9"/>
        <v>59940</v>
      </c>
      <c r="V140" s="65">
        <v>46279</v>
      </c>
      <c r="W140" s="63"/>
    </row>
    <row r="141" spans="1:30" ht="22.5" customHeight="1">
      <c r="A141" s="61">
        <v>84</v>
      </c>
      <c r="B141" s="17" t="s">
        <v>42</v>
      </c>
      <c r="C141" s="63" t="s">
        <v>354</v>
      </c>
      <c r="D141" s="65">
        <v>46224</v>
      </c>
      <c r="E141" s="63" t="s">
        <v>8</v>
      </c>
      <c r="F141" s="65">
        <v>46253</v>
      </c>
      <c r="G141" s="65">
        <v>46254</v>
      </c>
      <c r="H141" s="63" t="s">
        <v>355</v>
      </c>
      <c r="I141" s="63" t="s">
        <v>0</v>
      </c>
      <c r="J141" s="63" t="s">
        <v>181</v>
      </c>
      <c r="K141" s="63" t="s">
        <v>9</v>
      </c>
      <c r="L141" s="5" t="s">
        <v>346</v>
      </c>
      <c r="M141" s="159">
        <v>2012</v>
      </c>
      <c r="N141" s="189">
        <v>2012</v>
      </c>
      <c r="O141" s="205">
        <v>2011</v>
      </c>
      <c r="P141" s="203">
        <v>0</v>
      </c>
      <c r="Q141" s="203">
        <v>0</v>
      </c>
      <c r="R141" s="190">
        <v>1</v>
      </c>
      <c r="S141" s="160">
        <v>12066</v>
      </c>
      <c r="T141" s="134">
        <v>0.999</v>
      </c>
      <c r="U141" s="84">
        <f t="shared" si="9"/>
        <v>60330</v>
      </c>
      <c r="V141" s="65">
        <v>46279</v>
      </c>
      <c r="W141" s="63"/>
    </row>
    <row r="142" spans="1:30" ht="22.5" customHeight="1">
      <c r="A142" s="61">
        <v>84</v>
      </c>
      <c r="B142" s="17" t="s">
        <v>42</v>
      </c>
      <c r="C142" s="63" t="s">
        <v>354</v>
      </c>
      <c r="D142" s="65">
        <v>46224</v>
      </c>
      <c r="E142" s="63" t="s">
        <v>8</v>
      </c>
      <c r="F142" s="65">
        <v>46268</v>
      </c>
      <c r="G142" s="65">
        <v>46269</v>
      </c>
      <c r="H142" s="63" t="s">
        <v>355</v>
      </c>
      <c r="I142" s="63" t="s">
        <v>0</v>
      </c>
      <c r="J142" s="63" t="s">
        <v>181</v>
      </c>
      <c r="K142" s="63" t="s">
        <v>10</v>
      </c>
      <c r="L142" s="5" t="s">
        <v>346</v>
      </c>
      <c r="M142" s="160">
        <v>2012</v>
      </c>
      <c r="N142" s="208">
        <v>2012</v>
      </c>
      <c r="O142" s="204">
        <v>2012</v>
      </c>
      <c r="P142" s="203">
        <v>0</v>
      </c>
      <c r="Q142" s="203">
        <v>0</v>
      </c>
      <c r="R142" s="190">
        <v>0</v>
      </c>
      <c r="S142" s="170">
        <v>6036</v>
      </c>
      <c r="T142" s="134">
        <v>1</v>
      </c>
      <c r="U142" s="84">
        <f t="shared" si="9"/>
        <v>30180</v>
      </c>
      <c r="V142" s="65">
        <v>46279</v>
      </c>
      <c r="W142" s="63"/>
    </row>
    <row r="143" spans="1:30" ht="22.5" customHeight="1">
      <c r="A143" s="61">
        <v>84</v>
      </c>
      <c r="B143" s="17" t="s">
        <v>42</v>
      </c>
      <c r="C143" s="63" t="s">
        <v>354</v>
      </c>
      <c r="D143" s="65">
        <v>46224</v>
      </c>
      <c r="E143" s="63" t="s">
        <v>8</v>
      </c>
      <c r="F143" s="65">
        <v>46232</v>
      </c>
      <c r="G143" s="65">
        <v>46240</v>
      </c>
      <c r="H143" s="5" t="s">
        <v>356</v>
      </c>
      <c r="I143" s="63" t="s">
        <v>2</v>
      </c>
      <c r="J143" s="63" t="s">
        <v>181</v>
      </c>
      <c r="K143" s="63" t="s">
        <v>9</v>
      </c>
      <c r="L143" s="5" t="s">
        <v>350</v>
      </c>
      <c r="M143" s="159">
        <v>2000</v>
      </c>
      <c r="N143" s="189">
        <v>2000</v>
      </c>
      <c r="O143" s="161">
        <v>1819</v>
      </c>
      <c r="P143" s="159">
        <v>0</v>
      </c>
      <c r="Q143" s="203">
        <v>0</v>
      </c>
      <c r="R143" s="190">
        <v>181</v>
      </c>
      <c r="S143" s="161">
        <v>1819</v>
      </c>
      <c r="T143" s="134">
        <v>0.999</v>
      </c>
      <c r="U143" s="84">
        <f t="shared" si="9"/>
        <v>9095</v>
      </c>
      <c r="V143" s="65">
        <v>46279</v>
      </c>
      <c r="W143" s="63"/>
    </row>
    <row r="144" spans="1:30" ht="22.5" customHeight="1">
      <c r="A144" s="61">
        <v>84</v>
      </c>
      <c r="B144" s="17" t="s">
        <v>42</v>
      </c>
      <c r="C144" s="63" t="s">
        <v>354</v>
      </c>
      <c r="D144" s="65">
        <v>46224</v>
      </c>
      <c r="E144" s="63" t="s">
        <v>8</v>
      </c>
      <c r="F144" s="65">
        <v>46253</v>
      </c>
      <c r="G144" s="65">
        <v>46254</v>
      </c>
      <c r="H144" s="5" t="s">
        <v>356</v>
      </c>
      <c r="I144" s="63" t="s">
        <v>2</v>
      </c>
      <c r="J144" s="63" t="s">
        <v>181</v>
      </c>
      <c r="K144" s="63" t="s">
        <v>9</v>
      </c>
      <c r="L144" s="5" t="s">
        <v>350</v>
      </c>
      <c r="M144" s="159">
        <v>2012</v>
      </c>
      <c r="N144" s="189">
        <v>2012</v>
      </c>
      <c r="O144" s="212">
        <v>2011</v>
      </c>
      <c r="P144" s="164">
        <v>0</v>
      </c>
      <c r="Q144" s="164">
        <v>0</v>
      </c>
      <c r="R144" s="213">
        <v>1</v>
      </c>
      <c r="S144" s="162">
        <v>12066</v>
      </c>
      <c r="T144" s="94">
        <v>0.92449999999999999</v>
      </c>
      <c r="U144" s="84">
        <f t="shared" si="9"/>
        <v>60330</v>
      </c>
      <c r="V144" s="65">
        <v>46279</v>
      </c>
      <c r="W144" s="63"/>
    </row>
    <row r="145" spans="1:23" ht="22.5" customHeight="1">
      <c r="A145" s="61">
        <v>84</v>
      </c>
      <c r="B145" s="17" t="s">
        <v>42</v>
      </c>
      <c r="C145" s="63" t="s">
        <v>354</v>
      </c>
      <c r="D145" s="65">
        <v>46224</v>
      </c>
      <c r="E145" s="63" t="s">
        <v>8</v>
      </c>
      <c r="F145" s="65">
        <v>46268</v>
      </c>
      <c r="G145" s="65">
        <v>46269</v>
      </c>
      <c r="H145" s="5" t="s">
        <v>356</v>
      </c>
      <c r="I145" s="63" t="s">
        <v>2</v>
      </c>
      <c r="J145" s="63" t="s">
        <v>181</v>
      </c>
      <c r="K145" s="63" t="s">
        <v>10</v>
      </c>
      <c r="L145" s="5" t="s">
        <v>350</v>
      </c>
      <c r="M145" s="159">
        <v>2012</v>
      </c>
      <c r="N145" s="189">
        <v>2012</v>
      </c>
      <c r="O145" s="161">
        <v>1850</v>
      </c>
      <c r="P145" s="162">
        <v>0</v>
      </c>
      <c r="Q145" s="212">
        <v>0</v>
      </c>
      <c r="R145" s="190">
        <v>162</v>
      </c>
      <c r="S145" s="171">
        <v>1850</v>
      </c>
      <c r="T145" s="134">
        <v>0.91948310139165002</v>
      </c>
      <c r="U145" s="84">
        <f t="shared" si="9"/>
        <v>9250</v>
      </c>
      <c r="V145" s="65">
        <v>46279</v>
      </c>
      <c r="W145" s="63"/>
    </row>
    <row r="146" spans="1:23" ht="22.5" customHeight="1">
      <c r="A146" s="61">
        <v>85</v>
      </c>
      <c r="B146" s="63" t="s">
        <v>357</v>
      </c>
      <c r="C146" s="63" t="s">
        <v>358</v>
      </c>
      <c r="D146" s="65">
        <v>46254</v>
      </c>
      <c r="E146" s="63" t="s">
        <v>359</v>
      </c>
      <c r="F146" s="65">
        <v>46254</v>
      </c>
      <c r="G146" s="65">
        <v>46255</v>
      </c>
      <c r="H146" s="63" t="s">
        <v>360</v>
      </c>
      <c r="I146" s="63" t="s">
        <v>0</v>
      </c>
      <c r="J146" s="65">
        <v>46258</v>
      </c>
      <c r="K146" s="63" t="s">
        <v>9</v>
      </c>
      <c r="L146" s="5" t="s">
        <v>361</v>
      </c>
      <c r="M146" s="158">
        <v>11581</v>
      </c>
      <c r="N146" s="184">
        <v>11581</v>
      </c>
      <c r="O146" s="214">
        <v>11549</v>
      </c>
      <c r="P146" s="203">
        <v>0</v>
      </c>
      <c r="Q146" s="203">
        <v>0</v>
      </c>
      <c r="R146" s="190">
        <v>32</v>
      </c>
      <c r="S146" s="172">
        <v>57745</v>
      </c>
      <c r="T146" s="139">
        <v>0.9972368534668854</v>
      </c>
      <c r="U146" s="84">
        <f t="shared" si="9"/>
        <v>288725</v>
      </c>
      <c r="V146" s="65">
        <v>46266</v>
      </c>
      <c r="W146" s="63"/>
    </row>
    <row r="147" spans="1:23" ht="22.5" customHeight="1">
      <c r="A147" s="61">
        <v>85</v>
      </c>
      <c r="B147" s="63" t="s">
        <v>357</v>
      </c>
      <c r="C147" s="63" t="s">
        <v>358</v>
      </c>
      <c r="D147" s="65">
        <v>46254</v>
      </c>
      <c r="E147" s="63" t="s">
        <v>359</v>
      </c>
      <c r="F147" s="65">
        <v>46223</v>
      </c>
      <c r="G147" s="65">
        <v>46254</v>
      </c>
      <c r="H147" s="5" t="s">
        <v>362</v>
      </c>
      <c r="I147" s="63" t="s">
        <v>0</v>
      </c>
      <c r="J147" s="65">
        <v>46258</v>
      </c>
      <c r="K147" s="63" t="s">
        <v>9</v>
      </c>
      <c r="L147" s="5" t="s">
        <v>363</v>
      </c>
      <c r="M147" s="158">
        <v>4970</v>
      </c>
      <c r="N147" s="184">
        <v>4970</v>
      </c>
      <c r="O147" s="202">
        <v>3734</v>
      </c>
      <c r="P147" s="203">
        <v>0</v>
      </c>
      <c r="Q147" s="203">
        <v>0</v>
      </c>
      <c r="R147" s="188">
        <v>1236</v>
      </c>
      <c r="S147" s="160">
        <v>3734</v>
      </c>
      <c r="T147" s="66">
        <v>0.75129999999999997</v>
      </c>
      <c r="U147" s="84">
        <f t="shared" si="9"/>
        <v>18670</v>
      </c>
      <c r="V147" s="65">
        <v>46266</v>
      </c>
      <c r="W147" s="63"/>
    </row>
    <row r="148" spans="1:23" ht="22.5" customHeight="1">
      <c r="A148" s="61">
        <v>86</v>
      </c>
      <c r="B148" s="63" t="s">
        <v>178</v>
      </c>
      <c r="C148" s="63" t="s">
        <v>364</v>
      </c>
      <c r="D148" s="65">
        <v>46248</v>
      </c>
      <c r="E148" s="63" t="s">
        <v>359</v>
      </c>
      <c r="F148" s="65">
        <v>46248</v>
      </c>
      <c r="G148" s="65">
        <v>46313</v>
      </c>
      <c r="H148" s="63" t="s">
        <v>365</v>
      </c>
      <c r="I148" s="63" t="s">
        <v>0</v>
      </c>
      <c r="J148" s="65">
        <v>46253</v>
      </c>
      <c r="K148" s="63" t="s">
        <v>9</v>
      </c>
      <c r="L148" s="5" t="s">
        <v>366</v>
      </c>
      <c r="M148" s="158">
        <v>3629</v>
      </c>
      <c r="N148" s="184">
        <v>3629</v>
      </c>
      <c r="O148" s="202">
        <v>3625</v>
      </c>
      <c r="P148" s="203">
        <v>0</v>
      </c>
      <c r="Q148" s="203">
        <v>0</v>
      </c>
      <c r="R148" s="190">
        <v>4</v>
      </c>
      <c r="S148" s="158">
        <v>10875</v>
      </c>
      <c r="T148" s="66">
        <v>0.99890000000000001</v>
      </c>
      <c r="U148" s="84">
        <f t="shared" si="9"/>
        <v>54375</v>
      </c>
      <c r="V148" s="65">
        <v>46266</v>
      </c>
      <c r="W148" s="63"/>
    </row>
    <row r="149" spans="1:23" ht="22.5" customHeight="1">
      <c r="A149" s="61">
        <v>87</v>
      </c>
      <c r="B149" s="63" t="s">
        <v>178</v>
      </c>
      <c r="C149" s="63" t="s">
        <v>367</v>
      </c>
      <c r="D149" s="65">
        <v>46252</v>
      </c>
      <c r="E149" s="63" t="s">
        <v>359</v>
      </c>
      <c r="F149" s="65">
        <v>46253</v>
      </c>
      <c r="G149" s="65">
        <v>46253</v>
      </c>
      <c r="H149" s="63" t="s">
        <v>368</v>
      </c>
      <c r="I149" s="63" t="s">
        <v>0</v>
      </c>
      <c r="J149" s="65">
        <v>46253</v>
      </c>
      <c r="K149" s="63" t="s">
        <v>9</v>
      </c>
      <c r="L149" s="7" t="s">
        <v>369</v>
      </c>
      <c r="M149" s="159">
        <v>6014</v>
      </c>
      <c r="N149" s="189">
        <v>6014</v>
      </c>
      <c r="O149" s="204">
        <v>6005</v>
      </c>
      <c r="P149" s="203">
        <v>0</v>
      </c>
      <c r="Q149" s="203">
        <v>0</v>
      </c>
      <c r="R149" s="190">
        <v>9</v>
      </c>
      <c r="S149" s="160">
        <v>18015</v>
      </c>
      <c r="T149" s="134">
        <v>0.99850349185234455</v>
      </c>
      <c r="U149" s="84">
        <f t="shared" si="9"/>
        <v>90075</v>
      </c>
      <c r="V149" s="65">
        <v>46266</v>
      </c>
      <c r="W149" s="63"/>
    </row>
    <row r="150" spans="1:23" ht="22.5" customHeight="1">
      <c r="A150" s="61">
        <v>88</v>
      </c>
      <c r="B150" s="63" t="s">
        <v>178</v>
      </c>
      <c r="C150" s="63" t="s">
        <v>370</v>
      </c>
      <c r="D150" s="65">
        <v>46248</v>
      </c>
      <c r="E150" s="63" t="s">
        <v>359</v>
      </c>
      <c r="F150" s="65">
        <v>46252</v>
      </c>
      <c r="G150" s="65">
        <v>46253</v>
      </c>
      <c r="H150" s="63" t="s">
        <v>371</v>
      </c>
      <c r="I150" s="63" t="s">
        <v>0</v>
      </c>
      <c r="J150" s="63" t="s">
        <v>181</v>
      </c>
      <c r="K150" s="63" t="s">
        <v>9</v>
      </c>
      <c r="L150" s="7" t="s">
        <v>372</v>
      </c>
      <c r="M150" s="158">
        <v>287753</v>
      </c>
      <c r="N150" s="184">
        <v>287753</v>
      </c>
      <c r="O150" s="202">
        <v>287531</v>
      </c>
      <c r="P150" s="203">
        <v>0</v>
      </c>
      <c r="Q150" s="203">
        <v>0</v>
      </c>
      <c r="R150" s="190">
        <v>222</v>
      </c>
      <c r="S150" s="158">
        <v>862593</v>
      </c>
      <c r="T150" s="139">
        <v>0.99922850500255422</v>
      </c>
      <c r="U150" s="84">
        <f t="shared" si="9"/>
        <v>4312965</v>
      </c>
      <c r="V150" s="65">
        <v>46266</v>
      </c>
      <c r="W150" s="63"/>
    </row>
    <row r="151" spans="1:23" ht="22.5" customHeight="1">
      <c r="A151" s="61">
        <v>89</v>
      </c>
      <c r="B151" s="17" t="s">
        <v>42</v>
      </c>
      <c r="C151" s="5" t="s">
        <v>373</v>
      </c>
      <c r="D151" s="65">
        <v>46248</v>
      </c>
      <c r="E151" s="63" t="s">
        <v>359</v>
      </c>
      <c r="F151" s="65">
        <v>46248</v>
      </c>
      <c r="G151" s="65">
        <v>46252</v>
      </c>
      <c r="H151" s="63" t="s">
        <v>374</v>
      </c>
      <c r="I151" s="63" t="s">
        <v>0</v>
      </c>
      <c r="J151" s="65">
        <v>46254</v>
      </c>
      <c r="K151" s="63" t="s">
        <v>9</v>
      </c>
      <c r="L151" s="5" t="s">
        <v>375</v>
      </c>
      <c r="M151" s="158">
        <v>2012</v>
      </c>
      <c r="N151" s="184">
        <v>2012</v>
      </c>
      <c r="O151" s="215">
        <v>2011</v>
      </c>
      <c r="P151" s="203">
        <v>0</v>
      </c>
      <c r="Q151" s="203">
        <v>0</v>
      </c>
      <c r="R151" s="190">
        <v>1</v>
      </c>
      <c r="S151" s="173">
        <v>10055</v>
      </c>
      <c r="T151" s="85">
        <v>0.99950000000000006</v>
      </c>
      <c r="U151" s="84">
        <f t="shared" si="9"/>
        <v>50275</v>
      </c>
      <c r="V151" s="65">
        <v>46266</v>
      </c>
      <c r="W151" s="63"/>
    </row>
    <row r="152" spans="1:23" ht="22.5" customHeight="1">
      <c r="A152" s="61">
        <v>89</v>
      </c>
      <c r="B152" s="17" t="s">
        <v>42</v>
      </c>
      <c r="C152" s="5" t="s">
        <v>373</v>
      </c>
      <c r="D152" s="65">
        <v>46248</v>
      </c>
      <c r="E152" s="63" t="s">
        <v>359</v>
      </c>
      <c r="F152" s="65">
        <v>46248</v>
      </c>
      <c r="G152" s="65">
        <v>46253</v>
      </c>
      <c r="H152" s="63" t="s">
        <v>374</v>
      </c>
      <c r="I152" s="63" t="s">
        <v>0</v>
      </c>
      <c r="J152" s="65">
        <v>46254</v>
      </c>
      <c r="K152" s="63" t="s">
        <v>9</v>
      </c>
      <c r="L152" s="5" t="s">
        <v>375</v>
      </c>
      <c r="M152" s="158">
        <v>2012</v>
      </c>
      <c r="N152" s="184">
        <v>2012</v>
      </c>
      <c r="O152" s="215">
        <v>2010</v>
      </c>
      <c r="P152" s="203">
        <v>0</v>
      </c>
      <c r="Q152" s="203">
        <v>0</v>
      </c>
      <c r="R152" s="190">
        <v>2</v>
      </c>
      <c r="S152" s="160">
        <v>10050</v>
      </c>
      <c r="T152" s="139">
        <v>0.99900596421471177</v>
      </c>
      <c r="U152" s="84">
        <f t="shared" si="9"/>
        <v>50250</v>
      </c>
      <c r="V152" s="65">
        <v>46266</v>
      </c>
      <c r="W152" s="63"/>
    </row>
    <row r="153" spans="1:23" ht="22.5" customHeight="1">
      <c r="A153" s="61">
        <v>90</v>
      </c>
      <c r="B153" s="63" t="s">
        <v>178</v>
      </c>
      <c r="C153" s="63" t="s">
        <v>376</v>
      </c>
      <c r="D153" s="65">
        <v>46259</v>
      </c>
      <c r="E153" s="63" t="s">
        <v>359</v>
      </c>
      <c r="F153" s="65">
        <v>46260</v>
      </c>
      <c r="G153" s="65">
        <v>46261</v>
      </c>
      <c r="H153" s="63" t="s">
        <v>377</v>
      </c>
      <c r="I153" s="63" t="s">
        <v>0</v>
      </c>
      <c r="J153" s="63" t="s">
        <v>181</v>
      </c>
      <c r="K153" s="63" t="s">
        <v>9</v>
      </c>
      <c r="L153" s="5" t="s">
        <v>366</v>
      </c>
      <c r="M153" s="158">
        <v>5228</v>
      </c>
      <c r="N153" s="184">
        <v>5228</v>
      </c>
      <c r="O153" s="204">
        <v>5228</v>
      </c>
      <c r="P153" s="203">
        <v>0</v>
      </c>
      <c r="Q153" s="203">
        <v>0</v>
      </c>
      <c r="R153" s="190">
        <v>0</v>
      </c>
      <c r="S153" s="160">
        <v>5228</v>
      </c>
      <c r="T153" s="134">
        <v>1</v>
      </c>
      <c r="U153" s="84">
        <f t="shared" si="9"/>
        <v>26140</v>
      </c>
      <c r="V153" s="65">
        <v>46266</v>
      </c>
      <c r="W153" s="63"/>
    </row>
    <row r="154" spans="1:23" ht="22.5" customHeight="1">
      <c r="A154" s="16">
        <v>91</v>
      </c>
      <c r="B154" s="63" t="s">
        <v>178</v>
      </c>
      <c r="C154" s="16" t="s">
        <v>378</v>
      </c>
      <c r="D154" s="20">
        <v>46248</v>
      </c>
      <c r="E154" s="16" t="s">
        <v>359</v>
      </c>
      <c r="F154" s="20">
        <v>46248</v>
      </c>
      <c r="G154" s="20">
        <v>46252</v>
      </c>
      <c r="H154" s="216" t="s">
        <v>379</v>
      </c>
      <c r="I154" s="16" t="s">
        <v>0</v>
      </c>
      <c r="J154" s="20">
        <v>46256</v>
      </c>
      <c r="K154" s="16" t="s">
        <v>9</v>
      </c>
      <c r="L154" s="17" t="s">
        <v>380</v>
      </c>
      <c r="M154" s="149">
        <v>14828</v>
      </c>
      <c r="N154" s="184">
        <v>14828</v>
      </c>
      <c r="O154" s="211">
        <v>14809</v>
      </c>
      <c r="P154" s="182">
        <v>0</v>
      </c>
      <c r="Q154" s="182">
        <v>0</v>
      </c>
      <c r="R154" s="190">
        <v>19</v>
      </c>
      <c r="S154" s="170">
        <v>74045</v>
      </c>
      <c r="T154" s="140">
        <v>0.99871864041003511</v>
      </c>
      <c r="U154" s="22">
        <f t="shared" si="9"/>
        <v>370225</v>
      </c>
      <c r="V154" s="20">
        <v>46274</v>
      </c>
      <c r="W154" s="16"/>
    </row>
    <row r="155" spans="1:23" ht="22.5" customHeight="1">
      <c r="A155" s="16">
        <v>92</v>
      </c>
      <c r="B155" s="17" t="s">
        <v>88</v>
      </c>
      <c r="C155" s="16" t="s">
        <v>381</v>
      </c>
      <c r="D155" s="20">
        <v>46252</v>
      </c>
      <c r="E155" s="16" t="s">
        <v>359</v>
      </c>
      <c r="F155" s="20">
        <v>46252</v>
      </c>
      <c r="G155" s="20">
        <v>46253</v>
      </c>
      <c r="H155" s="16" t="s">
        <v>382</v>
      </c>
      <c r="I155" s="16" t="s">
        <v>0</v>
      </c>
      <c r="J155" s="20">
        <v>46255</v>
      </c>
      <c r="K155" s="16" t="s">
        <v>9</v>
      </c>
      <c r="L155" s="17" t="s">
        <v>383</v>
      </c>
      <c r="M155" s="149">
        <v>1360</v>
      </c>
      <c r="N155" s="184">
        <v>1360</v>
      </c>
      <c r="O155" s="181">
        <v>1360</v>
      </c>
      <c r="P155" s="182">
        <v>0</v>
      </c>
      <c r="Q155" s="182">
        <v>0</v>
      </c>
      <c r="R155" s="190">
        <v>0</v>
      </c>
      <c r="S155" s="149">
        <v>4074</v>
      </c>
      <c r="T155" s="141">
        <v>0.99852941176470589</v>
      </c>
      <c r="U155" s="22">
        <f t="shared" si="9"/>
        <v>20370</v>
      </c>
      <c r="V155" s="20">
        <v>46266</v>
      </c>
      <c r="W155" s="16"/>
    </row>
    <row r="156" spans="1:23" ht="22.5" customHeight="1">
      <c r="A156" s="16">
        <v>93</v>
      </c>
      <c r="B156" s="61" t="s">
        <v>230</v>
      </c>
      <c r="C156" s="16" t="s">
        <v>384</v>
      </c>
      <c r="D156" s="20">
        <v>46238</v>
      </c>
      <c r="E156" s="16" t="s">
        <v>359</v>
      </c>
      <c r="F156" s="20">
        <v>46238</v>
      </c>
      <c r="G156" s="20">
        <v>46239</v>
      </c>
      <c r="H156" s="16" t="s">
        <v>385</v>
      </c>
      <c r="I156" s="16" t="s">
        <v>0</v>
      </c>
      <c r="J156" s="20">
        <v>46240</v>
      </c>
      <c r="K156" s="16" t="s">
        <v>9</v>
      </c>
      <c r="L156" s="17" t="s">
        <v>386</v>
      </c>
      <c r="M156" s="154">
        <v>447</v>
      </c>
      <c r="N156" s="189">
        <v>447</v>
      </c>
      <c r="O156" s="181">
        <v>1788</v>
      </c>
      <c r="P156" s="182">
        <v>0</v>
      </c>
      <c r="Q156" s="182">
        <v>0</v>
      </c>
      <c r="R156" s="188">
        <v>-1341</v>
      </c>
      <c r="S156" s="149">
        <v>1788</v>
      </c>
      <c r="T156" s="142">
        <v>1</v>
      </c>
      <c r="U156" s="22">
        <f t="shared" si="9"/>
        <v>8940</v>
      </c>
      <c r="V156" s="20">
        <v>46266</v>
      </c>
      <c r="W156" s="16"/>
    </row>
    <row r="157" spans="1:23" ht="22.5" customHeight="1">
      <c r="A157" s="16">
        <v>94</v>
      </c>
      <c r="B157" s="63" t="s">
        <v>178</v>
      </c>
      <c r="C157" s="16" t="s">
        <v>387</v>
      </c>
      <c r="D157" s="20">
        <v>46248</v>
      </c>
      <c r="E157" s="16" t="s">
        <v>359</v>
      </c>
      <c r="F157" s="20">
        <v>46248</v>
      </c>
      <c r="G157" s="20">
        <v>46252</v>
      </c>
      <c r="H157" s="16" t="s">
        <v>388</v>
      </c>
      <c r="I157" s="16" t="s">
        <v>0</v>
      </c>
      <c r="J157" s="20">
        <v>46255</v>
      </c>
      <c r="K157" s="16" t="s">
        <v>9</v>
      </c>
      <c r="L157" s="17" t="s">
        <v>380</v>
      </c>
      <c r="M157" s="154">
        <v>413</v>
      </c>
      <c r="N157" s="189">
        <v>413</v>
      </c>
      <c r="O157" s="182">
        <v>413</v>
      </c>
      <c r="P157" s="182">
        <v>0</v>
      </c>
      <c r="Q157" s="182">
        <v>0</v>
      </c>
      <c r="R157" s="190">
        <v>0</v>
      </c>
      <c r="S157" s="149">
        <v>1239</v>
      </c>
      <c r="T157" s="142">
        <v>1</v>
      </c>
      <c r="U157" s="22">
        <f t="shared" si="9"/>
        <v>6195</v>
      </c>
      <c r="V157" s="20">
        <v>46266</v>
      </c>
      <c r="W157" s="16"/>
    </row>
    <row r="158" spans="1:23" ht="22.5" customHeight="1">
      <c r="A158" s="61">
        <v>95</v>
      </c>
      <c r="B158" s="63" t="s">
        <v>178</v>
      </c>
      <c r="C158" s="82" t="s">
        <v>389</v>
      </c>
      <c r="D158" s="20">
        <v>46253</v>
      </c>
      <c r="E158" s="16" t="s">
        <v>359</v>
      </c>
      <c r="F158" s="20">
        <v>46253</v>
      </c>
      <c r="G158" s="20">
        <v>46254</v>
      </c>
      <c r="H158" s="5" t="s">
        <v>390</v>
      </c>
      <c r="I158" s="16" t="s">
        <v>0</v>
      </c>
      <c r="J158" s="63" t="s">
        <v>181</v>
      </c>
      <c r="K158" s="63" t="s">
        <v>9</v>
      </c>
      <c r="L158" s="5" t="s">
        <v>391</v>
      </c>
      <c r="M158" s="158">
        <v>248008</v>
      </c>
      <c r="N158" s="184">
        <v>248008</v>
      </c>
      <c r="O158" s="217">
        <v>247782</v>
      </c>
      <c r="P158" s="182">
        <v>0</v>
      </c>
      <c r="Q158" s="182">
        <v>0</v>
      </c>
      <c r="R158" s="190">
        <v>226</v>
      </c>
      <c r="S158" s="174">
        <v>743346</v>
      </c>
      <c r="T158" s="134">
        <v>0.99908873907293316</v>
      </c>
      <c r="U158" s="84">
        <f t="shared" si="9"/>
        <v>3716730</v>
      </c>
      <c r="V158" s="65">
        <v>46266</v>
      </c>
      <c r="W158" s="63"/>
    </row>
    <row r="159" spans="1:23" ht="22.5" customHeight="1">
      <c r="A159" s="61">
        <v>96</v>
      </c>
      <c r="B159" s="61" t="s">
        <v>230</v>
      </c>
      <c r="C159" s="82" t="s">
        <v>392</v>
      </c>
      <c r="D159" s="20">
        <v>46261</v>
      </c>
      <c r="E159" s="16" t="s">
        <v>359</v>
      </c>
      <c r="F159" s="20">
        <v>46261</v>
      </c>
      <c r="G159" s="20">
        <v>46262</v>
      </c>
      <c r="H159" s="63" t="s">
        <v>393</v>
      </c>
      <c r="I159" s="16" t="s">
        <v>0</v>
      </c>
      <c r="J159" s="20">
        <v>46263</v>
      </c>
      <c r="K159" s="63" t="s">
        <v>9</v>
      </c>
      <c r="L159" s="5" t="s">
        <v>394</v>
      </c>
      <c r="M159" s="159">
        <v>977</v>
      </c>
      <c r="N159" s="189">
        <v>977</v>
      </c>
      <c r="O159" s="205">
        <v>976</v>
      </c>
      <c r="P159" s="182">
        <v>0</v>
      </c>
      <c r="Q159" s="182">
        <v>0</v>
      </c>
      <c r="R159" s="190">
        <v>1</v>
      </c>
      <c r="S159" s="174">
        <v>1952</v>
      </c>
      <c r="T159" s="134">
        <v>0.99897645854657113</v>
      </c>
      <c r="U159" s="84">
        <f t="shared" si="9"/>
        <v>9760</v>
      </c>
      <c r="V159" s="20">
        <v>46266</v>
      </c>
      <c r="W159" s="63"/>
    </row>
    <row r="160" spans="1:23" ht="20.25" customHeight="1">
      <c r="A160" s="61">
        <v>97</v>
      </c>
      <c r="B160" s="63" t="s">
        <v>178</v>
      </c>
      <c r="C160" s="5" t="s">
        <v>395</v>
      </c>
      <c r="D160" s="20">
        <v>46259</v>
      </c>
      <c r="E160" s="16" t="s">
        <v>359</v>
      </c>
      <c r="F160" s="20">
        <v>46259</v>
      </c>
      <c r="G160" s="20">
        <v>46259</v>
      </c>
      <c r="H160" s="63" t="s">
        <v>396</v>
      </c>
      <c r="I160" s="16" t="s">
        <v>0</v>
      </c>
      <c r="J160" s="63" t="s">
        <v>181</v>
      </c>
      <c r="K160" s="63" t="s">
        <v>9</v>
      </c>
      <c r="L160" s="5" t="s">
        <v>397</v>
      </c>
      <c r="M160" s="158">
        <v>36960</v>
      </c>
      <c r="N160" s="218">
        <v>36960</v>
      </c>
      <c r="O160" s="161">
        <v>36960</v>
      </c>
      <c r="P160" s="154">
        <v>0</v>
      </c>
      <c r="Q160" s="182">
        <v>0</v>
      </c>
      <c r="R160" s="190">
        <v>0</v>
      </c>
      <c r="S160" s="161">
        <v>110880</v>
      </c>
      <c r="T160" s="135">
        <v>1</v>
      </c>
      <c r="U160" s="84">
        <f t="shared" si="9"/>
        <v>554400</v>
      </c>
      <c r="V160" s="20">
        <v>46266</v>
      </c>
      <c r="W160" s="63"/>
    </row>
    <row r="161" spans="1:23" ht="22.5" customHeight="1">
      <c r="A161" s="61">
        <v>97</v>
      </c>
      <c r="B161" s="63" t="s">
        <v>178</v>
      </c>
      <c r="C161" s="5" t="s">
        <v>398</v>
      </c>
      <c r="D161" s="20">
        <v>46259</v>
      </c>
      <c r="E161" s="16" t="s">
        <v>359</v>
      </c>
      <c r="F161" s="20">
        <v>46259</v>
      </c>
      <c r="G161" s="20">
        <v>46259</v>
      </c>
      <c r="H161" s="5" t="s">
        <v>399</v>
      </c>
      <c r="I161" s="16" t="s">
        <v>0</v>
      </c>
      <c r="J161" s="63" t="s">
        <v>181</v>
      </c>
      <c r="K161" s="63" t="s">
        <v>9</v>
      </c>
      <c r="L161" s="5" t="s">
        <v>397</v>
      </c>
      <c r="M161" s="158">
        <v>109781</v>
      </c>
      <c r="N161" s="219">
        <v>109781</v>
      </c>
      <c r="O161" s="220">
        <v>109764</v>
      </c>
      <c r="P161" s="182">
        <v>0</v>
      </c>
      <c r="Q161" s="182">
        <v>0</v>
      </c>
      <c r="R161" s="190">
        <v>17</v>
      </c>
      <c r="S161" s="172">
        <v>329292</v>
      </c>
      <c r="T161" s="134">
        <v>0.99984514624570742</v>
      </c>
      <c r="U161" s="84">
        <f t="shared" si="9"/>
        <v>1646460</v>
      </c>
      <c r="V161" s="20">
        <v>46266</v>
      </c>
      <c r="W161" s="63"/>
    </row>
    <row r="162" spans="1:23" ht="22.5" customHeight="1">
      <c r="A162" s="61">
        <v>98</v>
      </c>
      <c r="B162" s="63" t="s">
        <v>178</v>
      </c>
      <c r="C162" s="63" t="s">
        <v>400</v>
      </c>
      <c r="D162" s="65">
        <v>46234</v>
      </c>
      <c r="E162" s="63" t="s">
        <v>8</v>
      </c>
      <c r="F162" s="20">
        <v>46234</v>
      </c>
      <c r="G162" s="65">
        <v>46237</v>
      </c>
      <c r="H162" s="63" t="s">
        <v>401</v>
      </c>
      <c r="I162" s="16" t="s">
        <v>0</v>
      </c>
      <c r="J162" s="63" t="s">
        <v>181</v>
      </c>
      <c r="K162" s="63" t="s">
        <v>9</v>
      </c>
      <c r="L162" s="5" t="s">
        <v>402</v>
      </c>
      <c r="M162" s="158">
        <v>28271</v>
      </c>
      <c r="N162" s="184">
        <v>28271</v>
      </c>
      <c r="O162" s="202">
        <v>28271</v>
      </c>
      <c r="P162" s="182">
        <v>0</v>
      </c>
      <c r="Q162" s="182">
        <v>0</v>
      </c>
      <c r="R162" s="190">
        <v>0</v>
      </c>
      <c r="S162" s="160">
        <v>84813</v>
      </c>
      <c r="T162" s="135">
        <v>1</v>
      </c>
      <c r="U162" s="84">
        <f t="shared" si="9"/>
        <v>424065</v>
      </c>
      <c r="V162" s="65">
        <v>46265</v>
      </c>
      <c r="W162" s="63"/>
    </row>
    <row r="163" spans="1:23" ht="22.5" customHeight="1">
      <c r="A163" s="61">
        <v>98</v>
      </c>
      <c r="B163" s="63" t="s">
        <v>178</v>
      </c>
      <c r="C163" s="63" t="s">
        <v>403</v>
      </c>
      <c r="D163" s="65">
        <v>46234</v>
      </c>
      <c r="E163" s="63" t="s">
        <v>8</v>
      </c>
      <c r="F163" s="20">
        <v>46237</v>
      </c>
      <c r="G163" s="20">
        <v>46238</v>
      </c>
      <c r="H163" s="5" t="s">
        <v>404</v>
      </c>
      <c r="I163" s="16" t="s">
        <v>0</v>
      </c>
      <c r="J163" s="63" t="s">
        <v>181</v>
      </c>
      <c r="K163" s="63" t="s">
        <v>9</v>
      </c>
      <c r="L163" s="5" t="s">
        <v>402</v>
      </c>
      <c r="M163" s="158">
        <v>18078</v>
      </c>
      <c r="N163" s="184">
        <v>18078</v>
      </c>
      <c r="O163" s="204">
        <v>18076</v>
      </c>
      <c r="P163" s="182">
        <v>0</v>
      </c>
      <c r="Q163" s="182">
        <v>0</v>
      </c>
      <c r="R163" s="190">
        <v>2</v>
      </c>
      <c r="S163" s="160">
        <v>54228</v>
      </c>
      <c r="T163" s="139">
        <v>0.99988936829295272</v>
      </c>
      <c r="U163" s="84">
        <f t="shared" si="9"/>
        <v>271140</v>
      </c>
      <c r="V163" s="65">
        <v>46265</v>
      </c>
      <c r="W163" s="63"/>
    </row>
    <row r="164" spans="1:23" ht="22.5" customHeight="1">
      <c r="A164" s="61">
        <v>98</v>
      </c>
      <c r="B164" s="63" t="s">
        <v>178</v>
      </c>
      <c r="C164" s="63" t="s">
        <v>405</v>
      </c>
      <c r="D164" s="65">
        <v>46234</v>
      </c>
      <c r="E164" s="63" t="s">
        <v>8</v>
      </c>
      <c r="F164" s="20">
        <v>46238</v>
      </c>
      <c r="G164" s="20">
        <v>46239</v>
      </c>
      <c r="H164" s="5" t="s">
        <v>406</v>
      </c>
      <c r="I164" s="16" t="s">
        <v>0</v>
      </c>
      <c r="J164" s="63" t="s">
        <v>181</v>
      </c>
      <c r="K164" s="63" t="s">
        <v>9</v>
      </c>
      <c r="L164" s="5" t="s">
        <v>402</v>
      </c>
      <c r="M164" s="176">
        <v>42729</v>
      </c>
      <c r="N164" s="221">
        <v>42729</v>
      </c>
      <c r="O164" s="222">
        <v>42728</v>
      </c>
      <c r="P164" s="223">
        <v>0</v>
      </c>
      <c r="Q164" s="223">
        <v>0</v>
      </c>
      <c r="R164" s="190">
        <v>1</v>
      </c>
      <c r="S164" s="175">
        <v>128184</v>
      </c>
      <c r="T164" s="143">
        <v>1</v>
      </c>
      <c r="U164" s="88">
        <f t="shared" si="9"/>
        <v>640920</v>
      </c>
      <c r="V164" s="89">
        <v>46265</v>
      </c>
      <c r="W164" s="63"/>
    </row>
    <row r="165" spans="1:23" ht="22.5" customHeight="1">
      <c r="A165" s="61">
        <v>98</v>
      </c>
      <c r="B165" s="63" t="s">
        <v>178</v>
      </c>
      <c r="C165" s="63" t="s">
        <v>407</v>
      </c>
      <c r="D165" s="65">
        <v>46234</v>
      </c>
      <c r="E165" s="63" t="s">
        <v>8</v>
      </c>
      <c r="F165" s="20">
        <v>46240</v>
      </c>
      <c r="G165" s="20">
        <v>46302</v>
      </c>
      <c r="H165" s="63" t="s">
        <v>408</v>
      </c>
      <c r="I165" s="16" t="s">
        <v>0</v>
      </c>
      <c r="J165" s="63" t="s">
        <v>181</v>
      </c>
      <c r="K165" s="63" t="s">
        <v>9</v>
      </c>
      <c r="L165" s="90" t="s">
        <v>402</v>
      </c>
      <c r="M165" s="162">
        <v>737</v>
      </c>
      <c r="N165" s="224">
        <v>737</v>
      </c>
      <c r="O165" s="212">
        <v>737</v>
      </c>
      <c r="P165" s="179">
        <v>0</v>
      </c>
      <c r="Q165" s="179">
        <v>0</v>
      </c>
      <c r="R165" s="182">
        <v>0</v>
      </c>
      <c r="S165" s="165">
        <v>2211</v>
      </c>
      <c r="T165" s="144">
        <v>1</v>
      </c>
      <c r="U165" s="84">
        <f t="shared" si="9"/>
        <v>11055</v>
      </c>
      <c r="V165" s="65">
        <v>46265</v>
      </c>
      <c r="W165" s="81" t="s">
        <v>41</v>
      </c>
    </row>
    <row r="166" spans="1:23" ht="22.5" customHeight="1">
      <c r="A166" s="61">
        <v>99</v>
      </c>
      <c r="B166" s="17" t="s">
        <v>42</v>
      </c>
      <c r="C166" s="63" t="s">
        <v>409</v>
      </c>
      <c r="D166" s="65">
        <v>46265</v>
      </c>
      <c r="E166" s="16" t="s">
        <v>359</v>
      </c>
      <c r="F166" s="20">
        <v>46254</v>
      </c>
      <c r="G166" s="20">
        <v>46256</v>
      </c>
      <c r="H166" s="5" t="s">
        <v>410</v>
      </c>
      <c r="I166" s="16" t="s">
        <v>0</v>
      </c>
      <c r="J166" s="63" t="s">
        <v>181</v>
      </c>
      <c r="K166" s="63" t="s">
        <v>9</v>
      </c>
      <c r="L166" s="91" t="s">
        <v>181</v>
      </c>
      <c r="M166" s="176">
        <v>1283</v>
      </c>
      <c r="N166" s="221">
        <v>1283</v>
      </c>
      <c r="O166" s="221">
        <v>1280</v>
      </c>
      <c r="P166" s="223">
        <v>0</v>
      </c>
      <c r="Q166" s="223">
        <v>0</v>
      </c>
      <c r="R166" s="190">
        <v>3</v>
      </c>
      <c r="S166" s="176">
        <v>5834</v>
      </c>
      <c r="T166" s="145">
        <v>99.78</v>
      </c>
      <c r="U166" s="84">
        <f t="shared" si="9"/>
        <v>29170</v>
      </c>
      <c r="V166" s="20" t="s">
        <v>411</v>
      </c>
      <c r="W166" s="81" t="s">
        <v>41</v>
      </c>
    </row>
    <row r="167" spans="1:23" ht="22.5" customHeight="1">
      <c r="A167" s="61">
        <v>100</v>
      </c>
      <c r="B167" s="63" t="s">
        <v>178</v>
      </c>
      <c r="C167" s="63" t="s">
        <v>412</v>
      </c>
      <c r="D167" s="65">
        <v>46266</v>
      </c>
      <c r="E167" s="63" t="s">
        <v>413</v>
      </c>
      <c r="F167" s="65">
        <v>46267</v>
      </c>
      <c r="G167" s="65">
        <v>46268</v>
      </c>
      <c r="H167" s="5" t="s">
        <v>414</v>
      </c>
      <c r="I167" s="16" t="s">
        <v>0</v>
      </c>
      <c r="J167" s="63" t="s">
        <v>181</v>
      </c>
      <c r="K167" s="63" t="s">
        <v>9</v>
      </c>
      <c r="L167" s="90" t="s">
        <v>397</v>
      </c>
      <c r="M167" s="165">
        <v>54086</v>
      </c>
      <c r="N167" s="219">
        <v>54086</v>
      </c>
      <c r="O167" s="214">
        <v>54086</v>
      </c>
      <c r="P167" s="179">
        <v>0</v>
      </c>
      <c r="Q167" s="179">
        <v>0</v>
      </c>
      <c r="R167" s="190">
        <v>0</v>
      </c>
      <c r="S167" s="148">
        <v>162258</v>
      </c>
      <c r="T167" s="144">
        <v>1</v>
      </c>
      <c r="U167" s="105">
        <f t="shared" si="9"/>
        <v>811290</v>
      </c>
      <c r="V167" s="20">
        <v>46274</v>
      </c>
      <c r="W167" s="63"/>
    </row>
    <row r="168" spans="1:23" ht="22.5" customHeight="1">
      <c r="A168" s="61">
        <v>100</v>
      </c>
      <c r="B168" s="63" t="s">
        <v>178</v>
      </c>
      <c r="C168" s="63" t="s">
        <v>415</v>
      </c>
      <c r="D168" s="65">
        <v>46266</v>
      </c>
      <c r="E168" s="63" t="s">
        <v>413</v>
      </c>
      <c r="F168" s="65">
        <v>46267</v>
      </c>
      <c r="G168" s="65">
        <v>46268</v>
      </c>
      <c r="H168" s="63" t="s">
        <v>416</v>
      </c>
      <c r="I168" s="16" t="s">
        <v>0</v>
      </c>
      <c r="J168" s="63" t="s">
        <v>181</v>
      </c>
      <c r="K168" s="63" t="s">
        <v>9</v>
      </c>
      <c r="L168" s="90" t="s">
        <v>397</v>
      </c>
      <c r="M168" s="158">
        <v>18056</v>
      </c>
      <c r="N168" s="225">
        <v>17986</v>
      </c>
      <c r="O168" s="198">
        <v>17986</v>
      </c>
      <c r="P168" s="182">
        <v>0</v>
      </c>
      <c r="Q168" s="182">
        <v>0</v>
      </c>
      <c r="R168" s="190">
        <v>0</v>
      </c>
      <c r="S168" s="151">
        <v>17986</v>
      </c>
      <c r="T168" s="144">
        <v>0.99612317235268055</v>
      </c>
      <c r="U168" s="105">
        <f t="shared" si="9"/>
        <v>89930</v>
      </c>
      <c r="V168" s="20">
        <v>46274</v>
      </c>
      <c r="W168" s="63"/>
    </row>
    <row r="169" spans="1:23" ht="22.5" customHeight="1">
      <c r="A169" s="61">
        <v>100</v>
      </c>
      <c r="B169" s="63" t="s">
        <v>178</v>
      </c>
      <c r="C169" s="63" t="s">
        <v>417</v>
      </c>
      <c r="D169" s="65">
        <v>46266</v>
      </c>
      <c r="E169" s="63" t="s">
        <v>413</v>
      </c>
      <c r="F169" s="65">
        <v>46267</v>
      </c>
      <c r="G169" s="65">
        <v>46268</v>
      </c>
      <c r="H169" s="5" t="s">
        <v>418</v>
      </c>
      <c r="I169" s="16" t="s">
        <v>0</v>
      </c>
      <c r="J169" s="63" t="s">
        <v>181</v>
      </c>
      <c r="K169" s="63" t="s">
        <v>9</v>
      </c>
      <c r="L169" s="90" t="s">
        <v>397</v>
      </c>
      <c r="M169" s="159">
        <v>155</v>
      </c>
      <c r="N169" s="189">
        <v>3422</v>
      </c>
      <c r="O169" s="226">
        <v>3400</v>
      </c>
      <c r="P169" s="182">
        <v>0</v>
      </c>
      <c r="Q169" s="182">
        <v>0</v>
      </c>
      <c r="R169" s="190">
        <v>22</v>
      </c>
      <c r="S169" s="150">
        <v>3400</v>
      </c>
      <c r="T169" s="144">
        <v>0.99357101110461721</v>
      </c>
      <c r="U169" s="105">
        <f t="shared" si="9"/>
        <v>17000</v>
      </c>
      <c r="V169" s="20">
        <v>46274</v>
      </c>
      <c r="W169" s="63"/>
    </row>
    <row r="170" spans="1:23" ht="22.5" customHeight="1">
      <c r="A170" s="61">
        <v>100</v>
      </c>
      <c r="B170" s="63" t="s">
        <v>178</v>
      </c>
      <c r="C170" s="63" t="s">
        <v>419</v>
      </c>
      <c r="D170" s="65">
        <v>46266</v>
      </c>
      <c r="E170" s="63" t="s">
        <v>413</v>
      </c>
      <c r="F170" s="65">
        <v>46267</v>
      </c>
      <c r="G170" s="65">
        <v>46268</v>
      </c>
      <c r="H170" s="227" t="s">
        <v>420</v>
      </c>
      <c r="I170" s="16" t="s">
        <v>0</v>
      </c>
      <c r="J170" s="63" t="s">
        <v>181</v>
      </c>
      <c r="K170" s="63" t="s">
        <v>9</v>
      </c>
      <c r="L170" s="90" t="s">
        <v>397</v>
      </c>
      <c r="M170" s="159">
        <v>150</v>
      </c>
      <c r="N170" s="189">
        <v>42842</v>
      </c>
      <c r="O170" s="202">
        <v>42458</v>
      </c>
      <c r="P170" s="182">
        <v>0</v>
      </c>
      <c r="Q170" s="182">
        <v>0</v>
      </c>
      <c r="R170" s="190">
        <v>384</v>
      </c>
      <c r="S170" s="149">
        <v>42458</v>
      </c>
      <c r="T170" s="144">
        <v>0.99103683301433176</v>
      </c>
      <c r="U170" s="105">
        <f t="shared" si="9"/>
        <v>212290</v>
      </c>
      <c r="V170" s="20">
        <v>46274</v>
      </c>
      <c r="W170" s="63"/>
    </row>
    <row r="171" spans="1:23" ht="22.5" customHeight="1">
      <c r="A171" s="16">
        <v>101</v>
      </c>
      <c r="B171" s="16" t="s">
        <v>178</v>
      </c>
      <c r="C171" s="100" t="s">
        <v>421</v>
      </c>
      <c r="D171" s="20">
        <v>46272</v>
      </c>
      <c r="E171" s="16" t="s">
        <v>413</v>
      </c>
      <c r="F171" s="20">
        <v>46272</v>
      </c>
      <c r="G171" s="20">
        <v>46272</v>
      </c>
      <c r="H171" s="16" t="s">
        <v>422</v>
      </c>
      <c r="I171" s="16" t="s">
        <v>0</v>
      </c>
      <c r="J171" s="20">
        <v>46275</v>
      </c>
      <c r="K171" s="16" t="s">
        <v>10</v>
      </c>
      <c r="L171" s="17" t="s">
        <v>423</v>
      </c>
      <c r="M171" s="228">
        <v>16245</v>
      </c>
      <c r="N171" s="184">
        <v>16245</v>
      </c>
      <c r="O171" s="211">
        <v>3556</v>
      </c>
      <c r="P171" s="182">
        <v>0</v>
      </c>
      <c r="Q171" s="182">
        <v>0</v>
      </c>
      <c r="R171" s="188">
        <v>12689</v>
      </c>
      <c r="S171" s="149">
        <v>16233</v>
      </c>
      <c r="T171" s="128">
        <v>0.99926131117266848</v>
      </c>
      <c r="U171" s="106">
        <f t="shared" si="9"/>
        <v>81165</v>
      </c>
      <c r="V171" s="20">
        <v>46279</v>
      </c>
      <c r="W171" s="16"/>
    </row>
    <row r="172" spans="1:23" ht="22.5" customHeight="1">
      <c r="A172" s="61">
        <v>101</v>
      </c>
      <c r="B172" s="63" t="s">
        <v>178</v>
      </c>
      <c r="C172" s="92" t="s">
        <v>424</v>
      </c>
      <c r="D172" s="65">
        <v>46272</v>
      </c>
      <c r="E172" s="63" t="s">
        <v>413</v>
      </c>
      <c r="F172" s="65">
        <v>46272</v>
      </c>
      <c r="G172" s="65">
        <v>46272</v>
      </c>
      <c r="H172" s="5" t="s">
        <v>425</v>
      </c>
      <c r="I172" s="16" t="s">
        <v>0</v>
      </c>
      <c r="J172" s="65">
        <v>46275</v>
      </c>
      <c r="K172" s="63" t="s">
        <v>10</v>
      </c>
      <c r="L172" s="5" t="s">
        <v>423</v>
      </c>
      <c r="M172" s="165">
        <v>16245</v>
      </c>
      <c r="N172" s="184">
        <v>16245</v>
      </c>
      <c r="O172" s="161">
        <v>16233</v>
      </c>
      <c r="P172" s="154">
        <v>0</v>
      </c>
      <c r="Q172" s="182">
        <v>0</v>
      </c>
      <c r="R172" s="190">
        <v>12</v>
      </c>
      <c r="S172" s="149">
        <v>3556</v>
      </c>
      <c r="T172" s="144">
        <v>0.99926131117266848</v>
      </c>
      <c r="U172" s="105">
        <f t="shared" si="9"/>
        <v>17780</v>
      </c>
      <c r="V172" s="20">
        <v>46279</v>
      </c>
      <c r="W172" s="63"/>
    </row>
    <row r="173" spans="1:23" ht="22.5" customHeight="1">
      <c r="A173" s="61">
        <v>102</v>
      </c>
      <c r="B173" s="63" t="s">
        <v>178</v>
      </c>
      <c r="C173" s="82" t="s">
        <v>426</v>
      </c>
      <c r="D173" s="65">
        <v>46273</v>
      </c>
      <c r="E173" s="63" t="s">
        <v>413</v>
      </c>
      <c r="F173" s="65">
        <v>46273</v>
      </c>
      <c r="G173" s="65">
        <v>46274</v>
      </c>
      <c r="H173" s="63" t="s">
        <v>427</v>
      </c>
      <c r="I173" s="16" t="s">
        <v>0</v>
      </c>
      <c r="J173" s="65">
        <v>46275</v>
      </c>
      <c r="K173" s="63" t="s">
        <v>10</v>
      </c>
      <c r="L173" s="5" t="s">
        <v>423</v>
      </c>
      <c r="M173" s="158">
        <v>20446</v>
      </c>
      <c r="N173" s="184">
        <v>20446</v>
      </c>
      <c r="O173" s="214">
        <v>20430</v>
      </c>
      <c r="P173" s="182">
        <v>0</v>
      </c>
      <c r="Q173" s="182">
        <v>0</v>
      </c>
      <c r="R173" s="190">
        <v>16</v>
      </c>
      <c r="S173" s="149">
        <v>40860</v>
      </c>
      <c r="T173" s="144">
        <v>0.99921745084613123</v>
      </c>
      <c r="U173" s="105">
        <f t="shared" si="9"/>
        <v>204300</v>
      </c>
      <c r="V173" s="20">
        <v>46279</v>
      </c>
      <c r="W173" s="63"/>
    </row>
    <row r="174" spans="1:23" ht="22.5" customHeight="1">
      <c r="A174" s="61">
        <v>103</v>
      </c>
      <c r="B174" s="63" t="s">
        <v>178</v>
      </c>
      <c r="C174" s="63" t="s">
        <v>428</v>
      </c>
      <c r="D174" s="65">
        <v>46273</v>
      </c>
      <c r="E174" s="63" t="s">
        <v>413</v>
      </c>
      <c r="F174" s="65">
        <v>46273</v>
      </c>
      <c r="G174" s="65">
        <v>46274</v>
      </c>
      <c r="H174" s="63" t="s">
        <v>422</v>
      </c>
      <c r="I174" s="16" t="s">
        <v>0</v>
      </c>
      <c r="J174" s="65">
        <v>46275</v>
      </c>
      <c r="K174" s="63" t="s">
        <v>10</v>
      </c>
      <c r="L174" s="5" t="s">
        <v>423</v>
      </c>
      <c r="M174" s="159">
        <v>851</v>
      </c>
      <c r="N174" s="189">
        <v>851</v>
      </c>
      <c r="O174" s="203">
        <v>850</v>
      </c>
      <c r="P174" s="182">
        <v>0</v>
      </c>
      <c r="Q174" s="182">
        <v>0</v>
      </c>
      <c r="R174" s="190">
        <v>1</v>
      </c>
      <c r="S174" s="154">
        <v>850</v>
      </c>
      <c r="T174" s="74">
        <v>0.99990000000000001</v>
      </c>
      <c r="U174" s="105">
        <f t="shared" si="9"/>
        <v>4250</v>
      </c>
      <c r="V174" s="20">
        <v>46280</v>
      </c>
      <c r="W174" s="63"/>
    </row>
    <row r="175" spans="1:23" ht="22.5" customHeight="1">
      <c r="A175" s="96">
        <v>104</v>
      </c>
      <c r="B175" s="87" t="s">
        <v>178</v>
      </c>
      <c r="C175" s="87" t="s">
        <v>429</v>
      </c>
      <c r="D175" s="89">
        <v>46276</v>
      </c>
      <c r="E175" s="87" t="s">
        <v>413</v>
      </c>
      <c r="F175" s="89">
        <v>46279</v>
      </c>
      <c r="G175" s="89">
        <v>46279</v>
      </c>
      <c r="H175" s="87" t="s">
        <v>430</v>
      </c>
      <c r="I175" s="86" t="s">
        <v>0</v>
      </c>
      <c r="J175" s="87" t="s">
        <v>181</v>
      </c>
      <c r="K175" s="87" t="s">
        <v>10</v>
      </c>
      <c r="L175" s="97" t="s">
        <v>431</v>
      </c>
      <c r="M175" s="176">
        <v>41565</v>
      </c>
      <c r="N175" s="229">
        <v>41565</v>
      </c>
      <c r="O175" s="229">
        <v>41561</v>
      </c>
      <c r="P175" s="223">
        <v>0</v>
      </c>
      <c r="Q175" s="223">
        <v>0</v>
      </c>
      <c r="R175" s="190">
        <v>4</v>
      </c>
      <c r="S175" s="149">
        <v>41561</v>
      </c>
      <c r="T175" s="144">
        <v>0.99990376518705637</v>
      </c>
      <c r="U175" s="107">
        <f t="shared" ref="U175:U192" si="11">S175*5</f>
        <v>207805</v>
      </c>
      <c r="V175" s="98">
        <v>46287</v>
      </c>
      <c r="W175" s="87" t="s">
        <v>41</v>
      </c>
    </row>
    <row r="176" spans="1:23" ht="22.5" customHeight="1">
      <c r="A176" s="61">
        <v>104</v>
      </c>
      <c r="B176" s="63" t="s">
        <v>178</v>
      </c>
      <c r="C176" s="63" t="s">
        <v>432</v>
      </c>
      <c r="D176" s="65">
        <v>46276</v>
      </c>
      <c r="E176" s="63" t="s">
        <v>413</v>
      </c>
      <c r="F176" s="65">
        <v>46279</v>
      </c>
      <c r="G176" s="65">
        <v>46279</v>
      </c>
      <c r="H176" s="63" t="s">
        <v>433</v>
      </c>
      <c r="I176" s="16" t="s">
        <v>0</v>
      </c>
      <c r="J176" s="63" t="s">
        <v>181</v>
      </c>
      <c r="K176" s="63" t="s">
        <v>10</v>
      </c>
      <c r="L176" s="5" t="s">
        <v>431</v>
      </c>
      <c r="M176" s="165">
        <v>137230</v>
      </c>
      <c r="N176" s="219">
        <v>137230</v>
      </c>
      <c r="O176" s="214">
        <v>137229</v>
      </c>
      <c r="P176" s="179">
        <v>0</v>
      </c>
      <c r="Q176" s="179">
        <v>0</v>
      </c>
      <c r="R176" s="190">
        <v>1</v>
      </c>
      <c r="S176" s="149">
        <v>411687</v>
      </c>
      <c r="T176" s="144">
        <v>0.99990000000000001</v>
      </c>
      <c r="U176" s="108">
        <f t="shared" si="11"/>
        <v>2058435</v>
      </c>
      <c r="V176" s="20">
        <v>46287</v>
      </c>
      <c r="W176" s="63" t="s">
        <v>41</v>
      </c>
    </row>
    <row r="177" spans="1:23" ht="22.5" customHeight="1">
      <c r="A177" s="16">
        <v>105</v>
      </c>
      <c r="B177" s="16" t="s">
        <v>178</v>
      </c>
      <c r="C177" s="16" t="s">
        <v>434</v>
      </c>
      <c r="D177" s="20">
        <v>46289</v>
      </c>
      <c r="E177" s="16" t="s">
        <v>413</v>
      </c>
      <c r="F177" s="20">
        <v>46289</v>
      </c>
      <c r="G177" s="20">
        <v>46290</v>
      </c>
      <c r="H177" s="146" t="s">
        <v>435</v>
      </c>
      <c r="I177" s="16" t="s">
        <v>0</v>
      </c>
      <c r="J177" s="16" t="s">
        <v>181</v>
      </c>
      <c r="K177" s="16" t="s">
        <v>10</v>
      </c>
      <c r="L177" s="17" t="s">
        <v>436</v>
      </c>
      <c r="M177" s="149">
        <v>54296</v>
      </c>
      <c r="N177" s="184">
        <v>54296</v>
      </c>
      <c r="O177" s="181">
        <v>54290</v>
      </c>
      <c r="P177" s="182">
        <v>0</v>
      </c>
      <c r="Q177" s="182">
        <v>0</v>
      </c>
      <c r="R177" s="190">
        <v>6</v>
      </c>
      <c r="S177" s="149">
        <v>54290</v>
      </c>
      <c r="T177" s="128">
        <v>0.99988949462207166</v>
      </c>
      <c r="U177" s="109">
        <f t="shared" si="11"/>
        <v>271450</v>
      </c>
      <c r="V177" s="16" t="s">
        <v>437</v>
      </c>
      <c r="W177" s="16"/>
    </row>
    <row r="178" spans="1:23" ht="22.5" customHeight="1">
      <c r="A178" s="16">
        <v>105</v>
      </c>
      <c r="B178" s="16" t="s">
        <v>178</v>
      </c>
      <c r="C178" s="16" t="s">
        <v>438</v>
      </c>
      <c r="D178" s="20">
        <v>46289</v>
      </c>
      <c r="E178" s="16" t="s">
        <v>413</v>
      </c>
      <c r="F178" s="20">
        <v>46289</v>
      </c>
      <c r="G178" s="20">
        <v>46293</v>
      </c>
      <c r="H178" s="146" t="s">
        <v>435</v>
      </c>
      <c r="I178" s="16" t="s">
        <v>0</v>
      </c>
      <c r="J178" s="16" t="s">
        <v>181</v>
      </c>
      <c r="K178" s="16" t="s">
        <v>10</v>
      </c>
      <c r="L178" s="17" t="s">
        <v>436</v>
      </c>
      <c r="M178" s="149">
        <v>43191</v>
      </c>
      <c r="N178" s="184">
        <v>43191</v>
      </c>
      <c r="O178" s="181">
        <v>43184</v>
      </c>
      <c r="P178" s="182">
        <v>0</v>
      </c>
      <c r="Q178" s="182">
        <v>0</v>
      </c>
      <c r="R178" s="190">
        <v>7</v>
      </c>
      <c r="S178" s="149">
        <v>43184</v>
      </c>
      <c r="T178" s="128">
        <v>0.99983792919821257</v>
      </c>
      <c r="U178" s="109">
        <f t="shared" si="11"/>
        <v>215920</v>
      </c>
      <c r="V178" s="16" t="s">
        <v>437</v>
      </c>
      <c r="W178" s="16"/>
    </row>
    <row r="179" spans="1:23" ht="22.5" customHeight="1">
      <c r="A179" s="16">
        <v>106</v>
      </c>
      <c r="B179" s="16" t="s">
        <v>439</v>
      </c>
      <c r="C179" s="16" t="s">
        <v>440</v>
      </c>
      <c r="D179" s="20">
        <v>46287</v>
      </c>
      <c r="E179" s="16" t="s">
        <v>413</v>
      </c>
      <c r="F179" s="20">
        <v>46289</v>
      </c>
      <c r="G179" s="20">
        <v>46290</v>
      </c>
      <c r="H179" s="17" t="s">
        <v>441</v>
      </c>
      <c r="I179" s="16" t="s">
        <v>0</v>
      </c>
      <c r="J179" s="16" t="s">
        <v>181</v>
      </c>
      <c r="K179" s="16" t="s">
        <v>10</v>
      </c>
      <c r="L179" s="17" t="s">
        <v>442</v>
      </c>
      <c r="M179" s="149">
        <v>1111</v>
      </c>
      <c r="N179" s="184">
        <v>1111</v>
      </c>
      <c r="O179" s="181">
        <v>1110</v>
      </c>
      <c r="P179" s="182">
        <v>0</v>
      </c>
      <c r="Q179" s="182">
        <v>0</v>
      </c>
      <c r="R179" s="190">
        <v>1</v>
      </c>
      <c r="S179" s="149">
        <v>4440</v>
      </c>
      <c r="T179" s="103">
        <v>0.99909990999099907</v>
      </c>
      <c r="U179" s="109">
        <f t="shared" si="11"/>
        <v>22200</v>
      </c>
      <c r="V179" s="16" t="s">
        <v>437</v>
      </c>
      <c r="W179" s="16"/>
    </row>
    <row r="180" spans="1:23" ht="22.5" customHeight="1">
      <c r="A180" s="16">
        <v>107</v>
      </c>
      <c r="B180" s="16" t="s">
        <v>443</v>
      </c>
      <c r="C180" s="16" t="s">
        <v>444</v>
      </c>
      <c r="D180" s="20">
        <v>46293</v>
      </c>
      <c r="E180" s="16" t="s">
        <v>413</v>
      </c>
      <c r="F180" s="20">
        <v>46293</v>
      </c>
      <c r="G180" s="20">
        <v>46294</v>
      </c>
      <c r="H180" s="17" t="s">
        <v>445</v>
      </c>
      <c r="I180" s="16" t="s">
        <v>0</v>
      </c>
      <c r="J180" s="20">
        <v>46309</v>
      </c>
      <c r="K180" s="16" t="s">
        <v>10</v>
      </c>
      <c r="L180" s="17" t="s">
        <v>446</v>
      </c>
      <c r="M180" s="149">
        <v>11976</v>
      </c>
      <c r="N180" s="184">
        <v>11976</v>
      </c>
      <c r="O180" s="181">
        <v>11962</v>
      </c>
      <c r="P180" s="182">
        <v>0</v>
      </c>
      <c r="Q180" s="182">
        <v>0</v>
      </c>
      <c r="R180" s="190">
        <v>14</v>
      </c>
      <c r="S180" s="149">
        <v>23924</v>
      </c>
      <c r="T180" s="103">
        <v>0.99883099532398134</v>
      </c>
      <c r="U180" s="109">
        <f t="shared" si="11"/>
        <v>119620</v>
      </c>
      <c r="V180" s="20">
        <v>46301</v>
      </c>
      <c r="W180" s="16"/>
    </row>
    <row r="181" spans="1:23" ht="22.5" customHeight="1">
      <c r="A181" s="16">
        <v>108</v>
      </c>
      <c r="B181" s="16" t="s">
        <v>443</v>
      </c>
      <c r="C181" s="16" t="s">
        <v>447</v>
      </c>
      <c r="D181" s="20">
        <v>46287</v>
      </c>
      <c r="E181" s="16" t="s">
        <v>413</v>
      </c>
      <c r="F181" s="20">
        <v>46286</v>
      </c>
      <c r="G181" s="20">
        <v>46287</v>
      </c>
      <c r="H181" s="16" t="s">
        <v>448</v>
      </c>
      <c r="I181" s="16" t="s">
        <v>0</v>
      </c>
      <c r="J181" s="20">
        <v>46295</v>
      </c>
      <c r="K181" s="16" t="s">
        <v>10</v>
      </c>
      <c r="L181" s="17" t="s">
        <v>449</v>
      </c>
      <c r="M181" s="149">
        <v>3965</v>
      </c>
      <c r="N181" s="184">
        <v>3965</v>
      </c>
      <c r="O181" s="181">
        <v>3963</v>
      </c>
      <c r="P181" s="182">
        <v>0</v>
      </c>
      <c r="Q181" s="182">
        <v>0</v>
      </c>
      <c r="R181" s="190">
        <v>2</v>
      </c>
      <c r="S181" s="149">
        <v>3963</v>
      </c>
      <c r="T181" s="103">
        <v>0.99949558638083225</v>
      </c>
      <c r="U181" s="109">
        <f t="shared" si="11"/>
        <v>19815</v>
      </c>
      <c r="V181" s="20">
        <v>46301</v>
      </c>
      <c r="W181" s="16"/>
    </row>
    <row r="182" spans="1:23" ht="22.5" customHeight="1">
      <c r="A182" s="16">
        <v>108</v>
      </c>
      <c r="B182" s="16" t="s">
        <v>443</v>
      </c>
      <c r="C182" s="16" t="s">
        <v>450</v>
      </c>
      <c r="D182" s="20">
        <v>46287</v>
      </c>
      <c r="E182" s="16" t="s">
        <v>413</v>
      </c>
      <c r="F182" s="20">
        <v>46286</v>
      </c>
      <c r="G182" s="20">
        <v>46287</v>
      </c>
      <c r="H182" s="16" t="s">
        <v>451</v>
      </c>
      <c r="I182" s="16" t="s">
        <v>0</v>
      </c>
      <c r="J182" s="20">
        <v>46295</v>
      </c>
      <c r="K182" s="16" t="s">
        <v>10</v>
      </c>
      <c r="L182" s="17" t="s">
        <v>449</v>
      </c>
      <c r="M182" s="149">
        <v>5981</v>
      </c>
      <c r="N182" s="184">
        <v>5981</v>
      </c>
      <c r="O182" s="181">
        <v>5980</v>
      </c>
      <c r="P182" s="182">
        <v>0</v>
      </c>
      <c r="Q182" s="230">
        <v>0</v>
      </c>
      <c r="R182" s="213">
        <v>1</v>
      </c>
      <c r="S182" s="149">
        <v>11960</v>
      </c>
      <c r="T182" s="103">
        <v>0.99983280387895002</v>
      </c>
      <c r="U182" s="109">
        <f t="shared" si="11"/>
        <v>59800</v>
      </c>
      <c r="V182" s="20">
        <v>46301</v>
      </c>
      <c r="W182" s="16"/>
    </row>
    <row r="183" spans="1:23" ht="22.5" customHeight="1">
      <c r="A183" s="61">
        <v>109</v>
      </c>
      <c r="B183" s="63" t="s">
        <v>452</v>
      </c>
      <c r="C183" s="63" t="s">
        <v>453</v>
      </c>
      <c r="D183" s="65">
        <v>46289</v>
      </c>
      <c r="E183" s="63" t="s">
        <v>413</v>
      </c>
      <c r="F183" s="65">
        <v>46293</v>
      </c>
      <c r="G183" s="65">
        <v>46293</v>
      </c>
      <c r="H183" s="5" t="s">
        <v>454</v>
      </c>
      <c r="I183" s="16" t="s">
        <v>0</v>
      </c>
      <c r="J183" s="63" t="s">
        <v>181</v>
      </c>
      <c r="K183" s="63" t="s">
        <v>10</v>
      </c>
      <c r="L183" s="5" t="s">
        <v>455</v>
      </c>
      <c r="M183" s="158">
        <v>11839</v>
      </c>
      <c r="N183" s="181">
        <v>11839</v>
      </c>
      <c r="O183" s="202">
        <v>11836</v>
      </c>
      <c r="P183" s="182">
        <v>0</v>
      </c>
      <c r="Q183" s="230">
        <v>0</v>
      </c>
      <c r="R183" s="213">
        <v>3</v>
      </c>
      <c r="S183" s="149">
        <v>59180</v>
      </c>
      <c r="T183" s="95">
        <v>0.99974660021961315</v>
      </c>
      <c r="U183" s="108">
        <f t="shared" si="11"/>
        <v>295900</v>
      </c>
      <c r="V183" s="20">
        <v>46301</v>
      </c>
      <c r="W183" s="63"/>
    </row>
    <row r="184" spans="1:23" ht="22.5" customHeight="1">
      <c r="A184" s="99">
        <v>110</v>
      </c>
      <c r="B184" s="77" t="s">
        <v>443</v>
      </c>
      <c r="C184" s="77" t="s">
        <v>456</v>
      </c>
      <c r="D184" s="65">
        <v>46275</v>
      </c>
      <c r="E184" s="63" t="s">
        <v>413</v>
      </c>
      <c r="F184" s="65">
        <v>46276</v>
      </c>
      <c r="G184" s="65">
        <v>46276</v>
      </c>
      <c r="H184" s="77" t="s">
        <v>457</v>
      </c>
      <c r="I184" s="16" t="s">
        <v>0</v>
      </c>
      <c r="J184" s="63" t="s">
        <v>181</v>
      </c>
      <c r="K184" s="63" t="s">
        <v>10</v>
      </c>
      <c r="L184" s="101" t="s">
        <v>436</v>
      </c>
      <c r="M184" s="158">
        <v>295160</v>
      </c>
      <c r="N184" s="184">
        <v>295160</v>
      </c>
      <c r="O184" s="204">
        <v>295045</v>
      </c>
      <c r="P184" s="182">
        <v>0</v>
      </c>
      <c r="Q184" s="230">
        <v>0</v>
      </c>
      <c r="R184" s="231">
        <v>115</v>
      </c>
      <c r="S184" s="149">
        <v>295045</v>
      </c>
      <c r="T184" s="95">
        <v>0.99961038081040787</v>
      </c>
      <c r="U184" s="108">
        <f t="shared" si="11"/>
        <v>1475225</v>
      </c>
      <c r="V184" s="20">
        <v>46281</v>
      </c>
      <c r="W184" s="77" t="s">
        <v>41</v>
      </c>
    </row>
    <row r="185" spans="1:23" ht="22.5" customHeight="1">
      <c r="A185" s="61">
        <v>111</v>
      </c>
      <c r="B185" s="63" t="s">
        <v>458</v>
      </c>
      <c r="C185" s="63" t="s">
        <v>459</v>
      </c>
      <c r="D185" s="65">
        <v>46295</v>
      </c>
      <c r="E185" s="63" t="s">
        <v>413</v>
      </c>
      <c r="F185" s="65">
        <v>46296</v>
      </c>
      <c r="G185" s="65">
        <v>46296</v>
      </c>
      <c r="H185" s="63" t="s">
        <v>460</v>
      </c>
      <c r="I185" s="16" t="s">
        <v>0</v>
      </c>
      <c r="J185" s="63" t="s">
        <v>181</v>
      </c>
      <c r="K185" s="63" t="s">
        <v>90</v>
      </c>
      <c r="L185" s="5" t="s">
        <v>436</v>
      </c>
      <c r="M185" s="158">
        <v>18058</v>
      </c>
      <c r="N185" s="181">
        <v>18058</v>
      </c>
      <c r="O185" s="202">
        <v>18056</v>
      </c>
      <c r="P185" s="203">
        <v>0</v>
      </c>
      <c r="Q185" s="203">
        <v>0</v>
      </c>
      <c r="R185" s="203">
        <v>2</v>
      </c>
      <c r="S185" s="149">
        <v>18056</v>
      </c>
      <c r="T185" s="95">
        <v>0.99990000000000001</v>
      </c>
      <c r="U185" s="108">
        <f t="shared" si="11"/>
        <v>90280</v>
      </c>
      <c r="V185" s="65">
        <v>46310</v>
      </c>
      <c r="W185" s="63" t="s">
        <v>41</v>
      </c>
    </row>
    <row r="186" spans="1:23" ht="22.5" customHeight="1">
      <c r="A186" s="61">
        <v>111</v>
      </c>
      <c r="B186" s="63" t="s">
        <v>458</v>
      </c>
      <c r="C186" s="63" t="s">
        <v>461</v>
      </c>
      <c r="D186" s="65">
        <v>46295</v>
      </c>
      <c r="E186" s="63" t="s">
        <v>413</v>
      </c>
      <c r="F186" s="65">
        <v>46296</v>
      </c>
      <c r="G186" s="65">
        <v>46296</v>
      </c>
      <c r="H186" s="63" t="s">
        <v>462</v>
      </c>
      <c r="I186" s="16" t="s">
        <v>0</v>
      </c>
      <c r="J186" s="63" t="s">
        <v>181</v>
      </c>
      <c r="K186" s="63" t="s">
        <v>90</v>
      </c>
      <c r="L186" s="5" t="s">
        <v>436</v>
      </c>
      <c r="M186" s="158">
        <v>2415</v>
      </c>
      <c r="N186" s="202">
        <v>2415</v>
      </c>
      <c r="O186" s="202">
        <v>2415</v>
      </c>
      <c r="P186" s="182">
        <v>0</v>
      </c>
      <c r="Q186" s="182">
        <v>0</v>
      </c>
      <c r="R186" s="182">
        <v>0</v>
      </c>
      <c r="S186" s="149">
        <v>2415</v>
      </c>
      <c r="T186" s="74">
        <v>0.99990000000000001</v>
      </c>
      <c r="U186" s="108">
        <f>S186*5</f>
        <v>12075</v>
      </c>
      <c r="V186" s="65">
        <v>46310</v>
      </c>
      <c r="W186" s="63" t="s">
        <v>41</v>
      </c>
    </row>
    <row r="187" spans="1:23" ht="22.5" customHeight="1">
      <c r="A187" s="61">
        <v>112</v>
      </c>
      <c r="B187" s="17" t="s">
        <v>88</v>
      </c>
      <c r="C187" s="63" t="s">
        <v>463</v>
      </c>
      <c r="D187" s="65">
        <v>46295</v>
      </c>
      <c r="E187" s="63" t="s">
        <v>413</v>
      </c>
      <c r="F187" s="65">
        <v>46296</v>
      </c>
      <c r="G187" s="65">
        <v>46297</v>
      </c>
      <c r="H187" s="63" t="s">
        <v>464</v>
      </c>
      <c r="I187" s="16" t="s">
        <v>0</v>
      </c>
      <c r="J187" s="65">
        <v>46303</v>
      </c>
      <c r="K187" s="63" t="s">
        <v>90</v>
      </c>
      <c r="L187" s="5" t="s">
        <v>465</v>
      </c>
      <c r="M187" s="158">
        <v>8475</v>
      </c>
      <c r="N187" s="181">
        <v>8475</v>
      </c>
      <c r="O187" s="202">
        <v>8466</v>
      </c>
      <c r="P187" s="182">
        <v>0</v>
      </c>
      <c r="Q187" s="182">
        <v>0</v>
      </c>
      <c r="R187" s="203">
        <v>9</v>
      </c>
      <c r="S187" s="149">
        <v>50796</v>
      </c>
      <c r="T187" s="95">
        <v>0.99890000000000001</v>
      </c>
      <c r="U187" s="108">
        <f t="shared" si="11"/>
        <v>253980</v>
      </c>
      <c r="V187" s="65">
        <v>46310</v>
      </c>
      <c r="W187" s="63" t="s">
        <v>41</v>
      </c>
    </row>
    <row r="188" spans="1:23" ht="22.5" customHeight="1">
      <c r="A188" s="61">
        <v>112</v>
      </c>
      <c r="B188" s="17" t="s">
        <v>88</v>
      </c>
      <c r="C188" s="63" t="s">
        <v>466</v>
      </c>
      <c r="D188" s="65">
        <v>46295</v>
      </c>
      <c r="E188" s="63" t="s">
        <v>413</v>
      </c>
      <c r="F188" s="65">
        <v>46300</v>
      </c>
      <c r="G188" s="65">
        <v>46301</v>
      </c>
      <c r="H188" s="63" t="s">
        <v>467</v>
      </c>
      <c r="I188" s="16" t="s">
        <v>0</v>
      </c>
      <c r="J188" s="65">
        <v>46323</v>
      </c>
      <c r="K188" s="63" t="s">
        <v>90</v>
      </c>
      <c r="L188" s="5" t="s">
        <v>465</v>
      </c>
      <c r="M188" s="158">
        <v>8475</v>
      </c>
      <c r="N188" s="181">
        <v>8475</v>
      </c>
      <c r="O188" s="202">
        <v>8466</v>
      </c>
      <c r="P188" s="182">
        <v>0</v>
      </c>
      <c r="Q188" s="182">
        <v>0</v>
      </c>
      <c r="R188" s="203">
        <v>9</v>
      </c>
      <c r="S188" s="149">
        <v>33864</v>
      </c>
      <c r="T188" s="95">
        <v>0.99890000000000001</v>
      </c>
      <c r="U188" s="108">
        <f t="shared" si="11"/>
        <v>169320</v>
      </c>
      <c r="V188" s="65">
        <v>46310</v>
      </c>
      <c r="W188" s="63" t="s">
        <v>41</v>
      </c>
    </row>
    <row r="189" spans="1:23" ht="22.5" customHeight="1">
      <c r="A189" s="61">
        <v>113</v>
      </c>
      <c r="B189" s="63" t="s">
        <v>443</v>
      </c>
      <c r="C189" s="63" t="s">
        <v>468</v>
      </c>
      <c r="D189" s="65">
        <v>46301</v>
      </c>
      <c r="E189" s="63" t="s">
        <v>11</v>
      </c>
      <c r="F189" s="65">
        <v>46301</v>
      </c>
      <c r="G189" s="65">
        <v>46301</v>
      </c>
      <c r="H189" s="63" t="s">
        <v>469</v>
      </c>
      <c r="I189" s="16" t="s">
        <v>0</v>
      </c>
      <c r="J189" s="65">
        <v>46302</v>
      </c>
      <c r="K189" s="63" t="s">
        <v>90</v>
      </c>
      <c r="L189" s="5" t="s">
        <v>470</v>
      </c>
      <c r="M189" s="159">
        <v>208</v>
      </c>
      <c r="N189" s="203">
        <v>208</v>
      </c>
      <c r="O189" s="203">
        <v>208</v>
      </c>
      <c r="P189" s="182">
        <v>0</v>
      </c>
      <c r="Q189" s="182">
        <v>0</v>
      </c>
      <c r="R189" s="182">
        <v>0</v>
      </c>
      <c r="S189" s="159">
        <v>208</v>
      </c>
      <c r="T189" s="95">
        <v>1</v>
      </c>
      <c r="U189" s="108">
        <f t="shared" si="11"/>
        <v>1040</v>
      </c>
      <c r="V189" s="65">
        <v>46310</v>
      </c>
      <c r="W189" s="63" t="s">
        <v>41</v>
      </c>
    </row>
    <row r="190" spans="1:23" ht="22.5" customHeight="1">
      <c r="A190" s="61">
        <v>114</v>
      </c>
      <c r="B190" s="63" t="s">
        <v>443</v>
      </c>
      <c r="C190" s="82" t="s">
        <v>471</v>
      </c>
      <c r="D190" s="65">
        <v>46304</v>
      </c>
      <c r="E190" s="63" t="s">
        <v>11</v>
      </c>
      <c r="F190" s="65">
        <v>46304</v>
      </c>
      <c r="G190" s="65">
        <v>46308</v>
      </c>
      <c r="H190" s="63" t="s">
        <v>472</v>
      </c>
      <c r="I190" s="16" t="s">
        <v>0</v>
      </c>
      <c r="J190" s="63" t="s">
        <v>181</v>
      </c>
      <c r="K190" s="63" t="s">
        <v>90</v>
      </c>
      <c r="L190" s="5" t="s">
        <v>473</v>
      </c>
      <c r="M190" s="158">
        <v>41898</v>
      </c>
      <c r="N190" s="202">
        <v>41898</v>
      </c>
      <c r="O190" s="203">
        <v>41898</v>
      </c>
      <c r="P190" s="182">
        <v>0</v>
      </c>
      <c r="Q190" s="182">
        <v>0</v>
      </c>
      <c r="R190" s="182">
        <v>0</v>
      </c>
      <c r="S190" s="158">
        <v>41898</v>
      </c>
      <c r="T190" s="95">
        <v>1</v>
      </c>
      <c r="U190" s="108">
        <f t="shared" si="11"/>
        <v>209490</v>
      </c>
      <c r="V190" s="65">
        <v>46311</v>
      </c>
      <c r="W190" s="63" t="s">
        <v>41</v>
      </c>
    </row>
    <row r="191" spans="1:23" ht="22.5" customHeight="1">
      <c r="A191" s="61">
        <v>114</v>
      </c>
      <c r="B191" s="63" t="s">
        <v>443</v>
      </c>
      <c r="C191" s="63" t="s">
        <v>474</v>
      </c>
      <c r="D191" s="65">
        <v>46304</v>
      </c>
      <c r="E191" s="63" t="s">
        <v>11</v>
      </c>
      <c r="F191" s="65">
        <v>46304</v>
      </c>
      <c r="G191" s="65">
        <v>46308</v>
      </c>
      <c r="H191" s="63" t="s">
        <v>475</v>
      </c>
      <c r="I191" s="16" t="s">
        <v>0</v>
      </c>
      <c r="J191" s="63" t="s">
        <v>181</v>
      </c>
      <c r="K191" s="63" t="s">
        <v>90</v>
      </c>
      <c r="L191" s="5" t="s">
        <v>473</v>
      </c>
      <c r="M191" s="158">
        <v>137450</v>
      </c>
      <c r="N191" s="202">
        <v>137450</v>
      </c>
      <c r="O191" s="181">
        <v>137449</v>
      </c>
      <c r="P191" s="182">
        <v>0</v>
      </c>
      <c r="Q191" s="182">
        <v>0</v>
      </c>
      <c r="R191" s="203">
        <v>1</v>
      </c>
      <c r="S191" s="158">
        <v>137449</v>
      </c>
      <c r="T191" s="95">
        <v>0.99990000000000001</v>
      </c>
      <c r="U191" s="108">
        <f t="shared" si="11"/>
        <v>687245</v>
      </c>
      <c r="V191" s="65">
        <v>46311</v>
      </c>
      <c r="W191" s="63" t="s">
        <v>41</v>
      </c>
    </row>
    <row r="192" spans="1:23" ht="22.5" customHeight="1">
      <c r="A192" s="61">
        <v>115</v>
      </c>
      <c r="B192" s="63" t="s">
        <v>452</v>
      </c>
      <c r="C192" s="63" t="s">
        <v>476</v>
      </c>
      <c r="D192" s="65">
        <v>46308</v>
      </c>
      <c r="E192" s="63" t="s">
        <v>11</v>
      </c>
      <c r="F192" s="65">
        <v>46308</v>
      </c>
      <c r="G192" s="65">
        <v>46309</v>
      </c>
      <c r="H192" s="5" t="s">
        <v>477</v>
      </c>
      <c r="I192" s="16" t="s">
        <v>0</v>
      </c>
      <c r="J192" s="65">
        <v>46310</v>
      </c>
      <c r="K192" s="63" t="s">
        <v>90</v>
      </c>
      <c r="L192" s="5" t="s">
        <v>478</v>
      </c>
      <c r="M192" s="158">
        <v>2461</v>
      </c>
      <c r="N192" s="202">
        <v>2461</v>
      </c>
      <c r="O192" s="202">
        <v>2456</v>
      </c>
      <c r="P192" s="182">
        <v>0</v>
      </c>
      <c r="Q192" s="182">
        <v>0</v>
      </c>
      <c r="R192" s="203">
        <v>5</v>
      </c>
      <c r="S192" s="158">
        <v>12280</v>
      </c>
      <c r="T192" s="95">
        <v>0.998</v>
      </c>
      <c r="U192" s="108">
        <f t="shared" si="11"/>
        <v>61400</v>
      </c>
      <c r="V192" s="65">
        <v>46311</v>
      </c>
      <c r="W192" s="63" t="s">
        <v>41</v>
      </c>
    </row>
    <row r="193" spans="1:23" ht="22.5" customHeight="1">
      <c r="A193" s="61"/>
      <c r="B193" s="63" t="s">
        <v>41</v>
      </c>
      <c r="C193" s="63"/>
      <c r="D193" s="63" t="s">
        <v>41</v>
      </c>
      <c r="E193" s="63" t="s">
        <v>41</v>
      </c>
      <c r="F193" s="63" t="s">
        <v>41</v>
      </c>
      <c r="G193" s="63" t="s">
        <v>41</v>
      </c>
      <c r="H193" s="63" t="s">
        <v>41</v>
      </c>
      <c r="I193" s="63" t="s">
        <v>41</v>
      </c>
      <c r="J193" s="63" t="s">
        <v>41</v>
      </c>
      <c r="K193" s="63" t="s">
        <v>41</v>
      </c>
      <c r="L193" s="63" t="s">
        <v>41</v>
      </c>
      <c r="M193" s="63" t="s">
        <v>41</v>
      </c>
      <c r="N193" s="16" t="s">
        <v>41</v>
      </c>
      <c r="O193" s="63" t="s">
        <v>41</v>
      </c>
      <c r="P193" s="63" t="s">
        <v>41</v>
      </c>
      <c r="Q193" s="63" t="s">
        <v>41</v>
      </c>
      <c r="R193" s="63" t="s">
        <v>41</v>
      </c>
      <c r="S193" s="63" t="s">
        <v>41</v>
      </c>
      <c r="T193" s="63" t="s">
        <v>41</v>
      </c>
      <c r="U193" s="63" t="s">
        <v>41</v>
      </c>
      <c r="V193" s="63" t="s">
        <v>41</v>
      </c>
      <c r="W193" s="63" t="s">
        <v>41</v>
      </c>
    </row>
    <row r="194" spans="1:23" ht="22.5" customHeight="1">
      <c r="A194" s="61"/>
      <c r="B194" s="63" t="s">
        <v>41</v>
      </c>
      <c r="C194" s="63"/>
      <c r="D194" s="63" t="s">
        <v>41</v>
      </c>
      <c r="E194" s="63" t="s">
        <v>41</v>
      </c>
      <c r="F194" s="63" t="s">
        <v>41</v>
      </c>
      <c r="G194" s="63" t="s">
        <v>41</v>
      </c>
      <c r="H194" s="63" t="s">
        <v>41</v>
      </c>
      <c r="I194" s="63" t="s">
        <v>41</v>
      </c>
      <c r="J194" s="63" t="s">
        <v>41</v>
      </c>
      <c r="K194" s="63" t="s">
        <v>41</v>
      </c>
      <c r="L194" s="63" t="s">
        <v>41</v>
      </c>
      <c r="M194" s="63" t="s">
        <v>41</v>
      </c>
      <c r="N194" s="16" t="s">
        <v>41</v>
      </c>
      <c r="O194" s="63" t="s">
        <v>41</v>
      </c>
      <c r="P194" s="63" t="s">
        <v>41</v>
      </c>
      <c r="Q194" s="63" t="s">
        <v>41</v>
      </c>
      <c r="R194" s="63" t="s">
        <v>41</v>
      </c>
      <c r="S194" s="63" t="s">
        <v>41</v>
      </c>
      <c r="T194" s="63" t="s">
        <v>41</v>
      </c>
      <c r="U194" s="63" t="s">
        <v>41</v>
      </c>
      <c r="V194" s="63" t="s">
        <v>41</v>
      </c>
      <c r="W194" s="63" t="s">
        <v>41</v>
      </c>
    </row>
    <row r="195" spans="1:23" ht="22.5" customHeight="1">
      <c r="A195" s="61"/>
      <c r="B195" s="63" t="s">
        <v>41</v>
      </c>
      <c r="C195" s="63"/>
      <c r="D195" s="63" t="s">
        <v>41</v>
      </c>
      <c r="E195" s="63" t="s">
        <v>41</v>
      </c>
      <c r="F195" s="63" t="s">
        <v>41</v>
      </c>
      <c r="G195" s="63" t="s">
        <v>41</v>
      </c>
      <c r="H195" s="63" t="s">
        <v>41</v>
      </c>
      <c r="I195" s="63" t="s">
        <v>41</v>
      </c>
      <c r="J195" s="63" t="s">
        <v>41</v>
      </c>
      <c r="K195" s="63" t="s">
        <v>41</v>
      </c>
      <c r="L195" s="63" t="s">
        <v>41</v>
      </c>
      <c r="M195" s="63" t="s">
        <v>41</v>
      </c>
      <c r="N195" s="16" t="s">
        <v>41</v>
      </c>
      <c r="O195" s="63" t="s">
        <v>41</v>
      </c>
      <c r="P195" s="63" t="s">
        <v>41</v>
      </c>
      <c r="Q195" s="63" t="s">
        <v>41</v>
      </c>
      <c r="R195" s="63" t="s">
        <v>41</v>
      </c>
      <c r="S195" s="63" t="s">
        <v>41</v>
      </c>
      <c r="T195" s="63" t="s">
        <v>41</v>
      </c>
      <c r="U195" s="63" t="s">
        <v>41</v>
      </c>
      <c r="V195" s="63" t="s">
        <v>41</v>
      </c>
      <c r="W195" s="63" t="s">
        <v>41</v>
      </c>
    </row>
    <row r="196" spans="1:23" ht="22.5" customHeight="1">
      <c r="A196" s="61"/>
      <c r="B196" s="63" t="s">
        <v>41</v>
      </c>
      <c r="C196" s="63"/>
      <c r="D196" s="63" t="s">
        <v>41</v>
      </c>
      <c r="E196" s="63" t="s">
        <v>41</v>
      </c>
      <c r="F196" s="63" t="s">
        <v>41</v>
      </c>
      <c r="G196" s="63" t="s">
        <v>41</v>
      </c>
      <c r="H196" s="63" t="s">
        <v>41</v>
      </c>
      <c r="I196" s="63" t="s">
        <v>41</v>
      </c>
      <c r="J196" s="63" t="s">
        <v>41</v>
      </c>
      <c r="K196" s="63" t="s">
        <v>41</v>
      </c>
      <c r="L196" s="63" t="s">
        <v>41</v>
      </c>
      <c r="M196" s="63" t="s">
        <v>41</v>
      </c>
      <c r="N196" s="16" t="s">
        <v>41</v>
      </c>
      <c r="O196" s="63" t="s">
        <v>41</v>
      </c>
      <c r="P196" s="63" t="s">
        <v>41</v>
      </c>
      <c r="Q196" s="63" t="s">
        <v>41</v>
      </c>
      <c r="R196" s="63" t="s">
        <v>41</v>
      </c>
      <c r="S196" s="63" t="s">
        <v>41</v>
      </c>
      <c r="T196" s="63" t="s">
        <v>41</v>
      </c>
      <c r="U196" s="63" t="s">
        <v>41</v>
      </c>
      <c r="V196" s="63" t="s">
        <v>41</v>
      </c>
      <c r="W196" s="63" t="s">
        <v>41</v>
      </c>
    </row>
    <row r="197" spans="1:23" ht="22.5" customHeight="1">
      <c r="A197" s="61"/>
      <c r="B197" s="63" t="s">
        <v>41</v>
      </c>
      <c r="C197" s="63"/>
      <c r="D197" s="63" t="s">
        <v>41</v>
      </c>
      <c r="E197" s="63" t="s">
        <v>41</v>
      </c>
      <c r="F197" s="63" t="s">
        <v>41</v>
      </c>
      <c r="G197" s="63" t="s">
        <v>41</v>
      </c>
      <c r="H197" s="63" t="s">
        <v>41</v>
      </c>
      <c r="I197" s="63" t="s">
        <v>41</v>
      </c>
      <c r="J197" s="63" t="s">
        <v>41</v>
      </c>
      <c r="K197" s="63" t="s">
        <v>41</v>
      </c>
      <c r="L197" s="63" t="s">
        <v>41</v>
      </c>
      <c r="M197" s="63" t="s">
        <v>41</v>
      </c>
      <c r="N197" s="16" t="s">
        <v>41</v>
      </c>
      <c r="O197" s="63" t="s">
        <v>41</v>
      </c>
      <c r="P197" s="63" t="s">
        <v>41</v>
      </c>
      <c r="Q197" s="63" t="s">
        <v>41</v>
      </c>
      <c r="R197" s="63" t="s">
        <v>41</v>
      </c>
      <c r="S197" s="63" t="s">
        <v>41</v>
      </c>
      <c r="T197" s="63" t="s">
        <v>41</v>
      </c>
      <c r="U197" s="63" t="s">
        <v>41</v>
      </c>
      <c r="V197" s="63" t="s">
        <v>41</v>
      </c>
      <c r="W197" s="63" t="s">
        <v>41</v>
      </c>
    </row>
    <row r="198" spans="1:23" ht="22.5" customHeight="1">
      <c r="A198" s="61"/>
      <c r="B198" s="63" t="s">
        <v>41</v>
      </c>
      <c r="C198" s="63"/>
      <c r="D198" s="63" t="s">
        <v>41</v>
      </c>
      <c r="E198" s="63" t="s">
        <v>41</v>
      </c>
      <c r="F198" s="63" t="s">
        <v>41</v>
      </c>
      <c r="G198" s="63" t="s">
        <v>41</v>
      </c>
      <c r="H198" s="63" t="s">
        <v>41</v>
      </c>
      <c r="I198" s="63" t="s">
        <v>41</v>
      </c>
      <c r="J198" s="63" t="s">
        <v>41</v>
      </c>
      <c r="K198" s="63" t="s">
        <v>41</v>
      </c>
      <c r="L198" s="63" t="s">
        <v>41</v>
      </c>
      <c r="M198" s="63" t="s">
        <v>41</v>
      </c>
      <c r="N198" s="16" t="s">
        <v>41</v>
      </c>
      <c r="O198" s="63" t="s">
        <v>41</v>
      </c>
      <c r="P198" s="63" t="s">
        <v>41</v>
      </c>
      <c r="Q198" s="63" t="s">
        <v>41</v>
      </c>
      <c r="R198" s="63" t="s">
        <v>41</v>
      </c>
      <c r="S198" s="63" t="s">
        <v>41</v>
      </c>
      <c r="T198" s="63" t="s">
        <v>41</v>
      </c>
      <c r="U198" s="63" t="s">
        <v>41</v>
      </c>
      <c r="V198" s="63" t="s">
        <v>41</v>
      </c>
      <c r="W198" s="63" t="s">
        <v>41</v>
      </c>
    </row>
    <row r="199" spans="1:23" ht="22.5" customHeight="1">
      <c r="A199" s="61"/>
      <c r="B199" s="63" t="s">
        <v>41</v>
      </c>
      <c r="C199" s="63"/>
      <c r="D199" s="63" t="s">
        <v>41</v>
      </c>
      <c r="E199" s="63" t="s">
        <v>41</v>
      </c>
      <c r="F199" s="63" t="s">
        <v>41</v>
      </c>
      <c r="G199" s="63" t="s">
        <v>41</v>
      </c>
      <c r="H199" s="63" t="s">
        <v>41</v>
      </c>
      <c r="I199" s="63" t="s">
        <v>41</v>
      </c>
      <c r="J199" s="63" t="s">
        <v>41</v>
      </c>
      <c r="K199" s="63" t="s">
        <v>41</v>
      </c>
      <c r="L199" s="63" t="s">
        <v>41</v>
      </c>
      <c r="M199" s="63" t="s">
        <v>41</v>
      </c>
      <c r="N199" s="16" t="s">
        <v>41</v>
      </c>
      <c r="O199" s="63" t="s">
        <v>41</v>
      </c>
      <c r="P199" s="63" t="s">
        <v>41</v>
      </c>
      <c r="Q199" s="63" t="s">
        <v>41</v>
      </c>
      <c r="R199" s="63" t="s">
        <v>41</v>
      </c>
      <c r="S199" s="63" t="s">
        <v>41</v>
      </c>
      <c r="T199" s="63" t="s">
        <v>41</v>
      </c>
      <c r="U199" s="63" t="s">
        <v>41</v>
      </c>
      <c r="V199" s="63" t="s">
        <v>41</v>
      </c>
      <c r="W199" s="63" t="s">
        <v>41</v>
      </c>
    </row>
    <row r="200" spans="1:23" ht="22.5" customHeight="1">
      <c r="A200" s="61"/>
      <c r="B200" s="63" t="s">
        <v>41</v>
      </c>
      <c r="C200" s="63"/>
      <c r="D200" s="63" t="s">
        <v>41</v>
      </c>
      <c r="E200" s="63" t="s">
        <v>41</v>
      </c>
      <c r="F200" s="63" t="s">
        <v>41</v>
      </c>
      <c r="G200" s="63" t="s">
        <v>41</v>
      </c>
      <c r="H200" s="63" t="s">
        <v>41</v>
      </c>
      <c r="I200" s="63" t="s">
        <v>41</v>
      </c>
      <c r="J200" s="63" t="s">
        <v>41</v>
      </c>
      <c r="K200" s="63" t="s">
        <v>41</v>
      </c>
      <c r="L200" s="63" t="s">
        <v>41</v>
      </c>
      <c r="M200" s="63" t="s">
        <v>41</v>
      </c>
      <c r="N200" s="16" t="s">
        <v>41</v>
      </c>
      <c r="O200" s="63" t="s">
        <v>41</v>
      </c>
      <c r="P200" s="63" t="s">
        <v>41</v>
      </c>
      <c r="Q200" s="63" t="s">
        <v>41</v>
      </c>
      <c r="R200" s="63" t="s">
        <v>41</v>
      </c>
      <c r="S200" s="63" t="s">
        <v>41</v>
      </c>
      <c r="T200" s="63" t="s">
        <v>41</v>
      </c>
      <c r="U200" s="63" t="s">
        <v>41</v>
      </c>
      <c r="V200" s="63" t="s">
        <v>41</v>
      </c>
      <c r="W200" s="63" t="s">
        <v>41</v>
      </c>
    </row>
    <row r="201" spans="1:23" ht="22.5" customHeight="1">
      <c r="A201" s="61"/>
      <c r="B201" s="63" t="s">
        <v>41</v>
      </c>
      <c r="C201" s="63"/>
      <c r="D201" s="63" t="s">
        <v>41</v>
      </c>
      <c r="E201" s="63" t="s">
        <v>41</v>
      </c>
      <c r="F201" s="63" t="s">
        <v>41</v>
      </c>
      <c r="G201" s="63" t="s">
        <v>41</v>
      </c>
      <c r="H201" s="63" t="s">
        <v>41</v>
      </c>
      <c r="I201" s="63" t="s">
        <v>41</v>
      </c>
      <c r="J201" s="63" t="s">
        <v>41</v>
      </c>
      <c r="K201" s="63" t="s">
        <v>41</v>
      </c>
      <c r="L201" s="63" t="s">
        <v>41</v>
      </c>
      <c r="M201" s="63" t="s">
        <v>41</v>
      </c>
      <c r="N201" s="16" t="s">
        <v>41</v>
      </c>
      <c r="O201" s="63" t="s">
        <v>41</v>
      </c>
      <c r="P201" s="63" t="s">
        <v>41</v>
      </c>
      <c r="Q201" s="63" t="s">
        <v>41</v>
      </c>
      <c r="R201" s="63" t="s">
        <v>41</v>
      </c>
      <c r="S201" s="63" t="s">
        <v>41</v>
      </c>
      <c r="T201" s="63" t="s">
        <v>41</v>
      </c>
      <c r="U201" s="63" t="s">
        <v>41</v>
      </c>
      <c r="V201" s="63" t="s">
        <v>41</v>
      </c>
      <c r="W201" s="63" t="s">
        <v>41</v>
      </c>
    </row>
    <row r="202" spans="1:23" ht="22.5" customHeight="1">
      <c r="A202" s="61"/>
      <c r="B202" s="63" t="s">
        <v>41</v>
      </c>
      <c r="C202" s="63"/>
      <c r="D202" s="63" t="s">
        <v>41</v>
      </c>
      <c r="E202" s="63" t="s">
        <v>41</v>
      </c>
      <c r="F202" s="63" t="s">
        <v>41</v>
      </c>
      <c r="G202" s="63" t="s">
        <v>41</v>
      </c>
      <c r="H202" s="63" t="s">
        <v>41</v>
      </c>
      <c r="I202" s="63" t="s">
        <v>41</v>
      </c>
      <c r="J202" s="63" t="s">
        <v>41</v>
      </c>
      <c r="K202" s="63" t="s">
        <v>41</v>
      </c>
      <c r="L202" s="63" t="s">
        <v>41</v>
      </c>
      <c r="M202" s="63" t="s">
        <v>41</v>
      </c>
      <c r="N202" s="16" t="s">
        <v>41</v>
      </c>
      <c r="O202" s="63" t="s">
        <v>41</v>
      </c>
      <c r="P202" s="63" t="s">
        <v>41</v>
      </c>
      <c r="Q202" s="63" t="s">
        <v>41</v>
      </c>
      <c r="R202" s="63" t="s">
        <v>41</v>
      </c>
      <c r="S202" s="63" t="s">
        <v>41</v>
      </c>
      <c r="T202" s="63" t="s">
        <v>41</v>
      </c>
      <c r="U202" s="63" t="s">
        <v>41</v>
      </c>
      <c r="V202" s="63" t="s">
        <v>41</v>
      </c>
      <c r="W202" s="63" t="s">
        <v>41</v>
      </c>
    </row>
    <row r="203" spans="1:23" ht="22.5" customHeight="1">
      <c r="A203" s="61"/>
      <c r="B203" s="63" t="s">
        <v>41</v>
      </c>
      <c r="C203" s="63"/>
      <c r="D203" s="63" t="s">
        <v>41</v>
      </c>
      <c r="E203" s="63" t="s">
        <v>41</v>
      </c>
      <c r="F203" s="63" t="s">
        <v>41</v>
      </c>
      <c r="G203" s="63" t="s">
        <v>41</v>
      </c>
      <c r="H203" s="63" t="s">
        <v>41</v>
      </c>
      <c r="I203" s="63" t="s">
        <v>41</v>
      </c>
      <c r="J203" s="63" t="s">
        <v>41</v>
      </c>
      <c r="K203" s="63" t="s">
        <v>41</v>
      </c>
      <c r="L203" s="63" t="s">
        <v>41</v>
      </c>
      <c r="M203" s="63" t="s">
        <v>41</v>
      </c>
      <c r="N203" s="16" t="s">
        <v>41</v>
      </c>
      <c r="O203" s="63" t="s">
        <v>41</v>
      </c>
      <c r="P203" s="63" t="s">
        <v>41</v>
      </c>
      <c r="Q203" s="63" t="s">
        <v>41</v>
      </c>
      <c r="R203" s="63" t="s">
        <v>41</v>
      </c>
      <c r="S203" s="63" t="s">
        <v>41</v>
      </c>
      <c r="T203" s="63" t="s">
        <v>41</v>
      </c>
      <c r="U203" s="63" t="s">
        <v>41</v>
      </c>
      <c r="V203" s="63" t="s">
        <v>41</v>
      </c>
      <c r="W203" s="63" t="s">
        <v>41</v>
      </c>
    </row>
    <row r="204" spans="1:23" ht="22.5" customHeight="1">
      <c r="A204" s="61"/>
      <c r="B204" s="63" t="s">
        <v>41</v>
      </c>
      <c r="C204" s="63"/>
      <c r="D204" s="63" t="s">
        <v>41</v>
      </c>
      <c r="E204" s="63" t="s">
        <v>41</v>
      </c>
      <c r="F204" s="63" t="s">
        <v>41</v>
      </c>
      <c r="G204" s="63" t="s">
        <v>41</v>
      </c>
      <c r="H204" s="63" t="s">
        <v>41</v>
      </c>
      <c r="I204" s="63" t="s">
        <v>41</v>
      </c>
      <c r="J204" s="63" t="s">
        <v>41</v>
      </c>
      <c r="K204" s="63" t="s">
        <v>41</v>
      </c>
      <c r="L204" s="63" t="s">
        <v>41</v>
      </c>
      <c r="M204" s="63" t="s">
        <v>41</v>
      </c>
      <c r="N204" s="16" t="s">
        <v>41</v>
      </c>
      <c r="O204" s="63" t="s">
        <v>41</v>
      </c>
      <c r="P204" s="63" t="s">
        <v>41</v>
      </c>
      <c r="Q204" s="63" t="s">
        <v>41</v>
      </c>
      <c r="R204" s="63" t="s">
        <v>41</v>
      </c>
      <c r="S204" s="63" t="s">
        <v>41</v>
      </c>
      <c r="T204" s="63" t="s">
        <v>41</v>
      </c>
      <c r="U204" s="63" t="s">
        <v>41</v>
      </c>
      <c r="V204" s="63" t="s">
        <v>41</v>
      </c>
      <c r="W204" s="63" t="s">
        <v>41</v>
      </c>
    </row>
    <row r="205" spans="1:23" ht="22.5" customHeight="1">
      <c r="A205" s="61"/>
      <c r="B205" s="63" t="s">
        <v>41</v>
      </c>
      <c r="C205" s="63"/>
      <c r="D205" s="63" t="s">
        <v>41</v>
      </c>
      <c r="E205" s="63" t="s">
        <v>41</v>
      </c>
      <c r="F205" s="63" t="s">
        <v>41</v>
      </c>
      <c r="G205" s="63" t="s">
        <v>41</v>
      </c>
      <c r="H205" s="63" t="s">
        <v>41</v>
      </c>
      <c r="I205" s="63" t="s">
        <v>41</v>
      </c>
      <c r="J205" s="63" t="s">
        <v>41</v>
      </c>
      <c r="K205" s="63" t="s">
        <v>41</v>
      </c>
      <c r="L205" s="63" t="s">
        <v>41</v>
      </c>
      <c r="M205" s="63" t="s">
        <v>41</v>
      </c>
      <c r="N205" s="16" t="s">
        <v>41</v>
      </c>
      <c r="O205" s="63" t="s">
        <v>41</v>
      </c>
      <c r="P205" s="63" t="s">
        <v>41</v>
      </c>
      <c r="Q205" s="63" t="s">
        <v>41</v>
      </c>
      <c r="R205" s="63" t="s">
        <v>41</v>
      </c>
      <c r="S205" s="63" t="s">
        <v>41</v>
      </c>
      <c r="T205" s="63" t="s">
        <v>41</v>
      </c>
      <c r="U205" s="63" t="s">
        <v>41</v>
      </c>
      <c r="V205" s="63" t="s">
        <v>41</v>
      </c>
      <c r="W205" s="63" t="s">
        <v>41</v>
      </c>
    </row>
    <row r="206" spans="1:23" ht="22.5" customHeight="1">
      <c r="A206" s="61"/>
      <c r="B206" s="63" t="s">
        <v>41</v>
      </c>
      <c r="C206" s="63"/>
      <c r="D206" s="63" t="s">
        <v>41</v>
      </c>
      <c r="E206" s="63" t="s">
        <v>41</v>
      </c>
      <c r="F206" s="63" t="s">
        <v>41</v>
      </c>
      <c r="G206" s="63" t="s">
        <v>41</v>
      </c>
      <c r="H206" s="63" t="s">
        <v>41</v>
      </c>
      <c r="I206" s="63" t="s">
        <v>41</v>
      </c>
      <c r="J206" s="63" t="s">
        <v>41</v>
      </c>
      <c r="K206" s="63" t="s">
        <v>41</v>
      </c>
      <c r="L206" s="63" t="s">
        <v>41</v>
      </c>
      <c r="M206" s="63" t="s">
        <v>41</v>
      </c>
      <c r="N206" s="16" t="s">
        <v>41</v>
      </c>
      <c r="O206" s="63" t="s">
        <v>41</v>
      </c>
      <c r="P206" s="63" t="s">
        <v>41</v>
      </c>
      <c r="Q206" s="63" t="s">
        <v>41</v>
      </c>
      <c r="R206" s="63" t="s">
        <v>41</v>
      </c>
      <c r="S206" s="63" t="s">
        <v>41</v>
      </c>
      <c r="T206" s="63" t="s">
        <v>41</v>
      </c>
      <c r="U206" s="63" t="s">
        <v>41</v>
      </c>
      <c r="V206" s="63" t="s">
        <v>41</v>
      </c>
      <c r="W206" s="63" t="s">
        <v>41</v>
      </c>
    </row>
    <row r="207" spans="1:23" ht="22.5" customHeight="1">
      <c r="A207" s="61"/>
      <c r="B207" s="63" t="s">
        <v>41</v>
      </c>
      <c r="C207" s="63"/>
      <c r="D207" s="63" t="s">
        <v>41</v>
      </c>
      <c r="E207" s="63" t="s">
        <v>41</v>
      </c>
      <c r="F207" s="63" t="s">
        <v>41</v>
      </c>
      <c r="G207" s="63" t="s">
        <v>41</v>
      </c>
      <c r="H207" s="63" t="s">
        <v>41</v>
      </c>
      <c r="I207" s="63" t="s">
        <v>41</v>
      </c>
      <c r="J207" s="63" t="s">
        <v>41</v>
      </c>
      <c r="K207" s="63" t="s">
        <v>41</v>
      </c>
      <c r="L207" s="63" t="s">
        <v>41</v>
      </c>
      <c r="M207" s="63" t="s">
        <v>41</v>
      </c>
      <c r="N207" s="16" t="s">
        <v>41</v>
      </c>
      <c r="O207" s="63" t="s">
        <v>41</v>
      </c>
      <c r="P207" s="63" t="s">
        <v>41</v>
      </c>
      <c r="Q207" s="63" t="s">
        <v>41</v>
      </c>
      <c r="R207" s="63" t="s">
        <v>41</v>
      </c>
      <c r="S207" s="63" t="s">
        <v>41</v>
      </c>
      <c r="T207" s="63" t="s">
        <v>41</v>
      </c>
      <c r="U207" s="63" t="s">
        <v>41</v>
      </c>
      <c r="V207" s="63" t="s">
        <v>41</v>
      </c>
      <c r="W207" s="63" t="s">
        <v>41</v>
      </c>
    </row>
    <row r="208" spans="1:23" ht="22.5" customHeight="1">
      <c r="A208" s="61"/>
      <c r="B208" s="63" t="s">
        <v>41</v>
      </c>
      <c r="C208" s="63"/>
      <c r="D208" s="63" t="s">
        <v>41</v>
      </c>
      <c r="E208" s="63" t="s">
        <v>41</v>
      </c>
      <c r="F208" s="63" t="s">
        <v>41</v>
      </c>
      <c r="G208" s="63" t="s">
        <v>41</v>
      </c>
      <c r="H208" s="63" t="s">
        <v>41</v>
      </c>
      <c r="I208" s="63" t="s">
        <v>41</v>
      </c>
      <c r="J208" s="63" t="s">
        <v>41</v>
      </c>
      <c r="K208" s="63" t="s">
        <v>41</v>
      </c>
      <c r="L208" s="63" t="s">
        <v>41</v>
      </c>
      <c r="M208" s="63" t="s">
        <v>41</v>
      </c>
      <c r="N208" s="16" t="s">
        <v>41</v>
      </c>
      <c r="O208" s="63" t="s">
        <v>41</v>
      </c>
      <c r="P208" s="63" t="s">
        <v>41</v>
      </c>
      <c r="Q208" s="63" t="s">
        <v>41</v>
      </c>
      <c r="R208" s="63" t="s">
        <v>41</v>
      </c>
      <c r="S208" s="63" t="s">
        <v>41</v>
      </c>
      <c r="T208" s="63" t="s">
        <v>41</v>
      </c>
      <c r="U208" s="63" t="s">
        <v>41</v>
      </c>
      <c r="V208" s="63" t="s">
        <v>41</v>
      </c>
      <c r="W208" s="63" t="s">
        <v>41</v>
      </c>
    </row>
    <row r="209" spans="1:23" ht="22.5" customHeight="1">
      <c r="A209" s="61"/>
      <c r="B209" s="63" t="s">
        <v>41</v>
      </c>
      <c r="C209" s="63"/>
      <c r="D209" s="63" t="s">
        <v>41</v>
      </c>
      <c r="E209" s="63" t="s">
        <v>41</v>
      </c>
      <c r="F209" s="63" t="s">
        <v>41</v>
      </c>
      <c r="G209" s="63" t="s">
        <v>41</v>
      </c>
      <c r="H209" s="63" t="s">
        <v>41</v>
      </c>
      <c r="I209" s="63" t="s">
        <v>41</v>
      </c>
      <c r="J209" s="63" t="s">
        <v>41</v>
      </c>
      <c r="K209" s="63" t="s">
        <v>41</v>
      </c>
      <c r="L209" s="63" t="s">
        <v>41</v>
      </c>
      <c r="M209" s="63" t="s">
        <v>41</v>
      </c>
      <c r="N209" s="16" t="s">
        <v>41</v>
      </c>
      <c r="O209" s="63" t="s">
        <v>41</v>
      </c>
      <c r="P209" s="63" t="s">
        <v>41</v>
      </c>
      <c r="Q209" s="63" t="s">
        <v>41</v>
      </c>
      <c r="R209" s="63" t="s">
        <v>41</v>
      </c>
      <c r="S209" s="63" t="s">
        <v>41</v>
      </c>
      <c r="T209" s="63" t="s">
        <v>41</v>
      </c>
      <c r="U209" s="63" t="s">
        <v>41</v>
      </c>
      <c r="V209" s="63" t="s">
        <v>41</v>
      </c>
      <c r="W209" s="63" t="s">
        <v>41</v>
      </c>
    </row>
    <row r="210" spans="1:23" ht="22.5" customHeight="1">
      <c r="A210" s="61"/>
      <c r="B210" s="63"/>
      <c r="C210" s="63"/>
      <c r="D210" s="63"/>
      <c r="E210" s="63"/>
      <c r="F210" s="63"/>
      <c r="G210" s="63"/>
      <c r="H210" s="63"/>
      <c r="I210" s="63"/>
      <c r="J210" s="63"/>
      <c r="K210" s="63"/>
      <c r="L210" s="63"/>
      <c r="M210" s="63"/>
      <c r="N210" s="63"/>
      <c r="O210" s="63"/>
      <c r="P210" s="63"/>
      <c r="Q210" s="63"/>
      <c r="R210" s="63"/>
      <c r="S210" s="63"/>
      <c r="T210" s="63"/>
      <c r="U210" s="63"/>
      <c r="V210" s="63"/>
      <c r="W210" s="63"/>
    </row>
    <row r="211" spans="1:23" ht="22.5" customHeight="1">
      <c r="A211" s="61"/>
      <c r="B211" s="130"/>
      <c r="C211" s="130"/>
      <c r="D211" s="130"/>
      <c r="E211" s="130"/>
      <c r="F211" s="130"/>
      <c r="G211" s="130"/>
      <c r="H211" s="130"/>
      <c r="I211" s="130"/>
      <c r="J211" s="130"/>
      <c r="K211" s="130"/>
      <c r="L211" s="130"/>
      <c r="M211" s="130"/>
      <c r="N211" s="130"/>
      <c r="O211" s="130"/>
      <c r="P211" s="130"/>
    </row>
    <row r="212" spans="1:23" ht="22.5" customHeight="1">
      <c r="A212" s="61"/>
      <c r="B212" s="130"/>
      <c r="C212" s="130"/>
      <c r="D212" s="130"/>
      <c r="E212" s="130"/>
      <c r="F212" s="130"/>
      <c r="G212" s="130"/>
      <c r="H212" s="130"/>
      <c r="I212" s="130"/>
      <c r="J212" s="130"/>
      <c r="K212" s="130"/>
      <c r="L212" s="130"/>
      <c r="M212" s="130"/>
      <c r="N212" s="130"/>
      <c r="O212" s="130"/>
      <c r="P212" s="130"/>
    </row>
    <row r="213" spans="1:23" ht="22.5" customHeight="1">
      <c r="A213" s="61"/>
      <c r="B213" s="130"/>
      <c r="C213" s="130"/>
      <c r="D213" s="130"/>
      <c r="E213" s="130"/>
      <c r="F213" s="130"/>
      <c r="G213" s="130"/>
      <c r="H213" s="130"/>
      <c r="I213" s="130"/>
      <c r="J213" s="130"/>
      <c r="K213" s="130"/>
      <c r="L213" s="130"/>
      <c r="M213" s="130"/>
      <c r="N213" s="130"/>
      <c r="O213" s="130"/>
      <c r="P213" s="130"/>
    </row>
    <row r="214" spans="1:23" ht="22.5" customHeight="1">
      <c r="A214" s="61"/>
      <c r="B214" s="130"/>
      <c r="C214" s="130"/>
      <c r="D214" s="130"/>
      <c r="E214" s="130"/>
      <c r="F214" s="130"/>
      <c r="G214" s="130"/>
      <c r="H214" s="130"/>
      <c r="I214" s="130"/>
      <c r="J214" s="130"/>
      <c r="K214" s="130"/>
      <c r="L214" s="130"/>
      <c r="M214" s="130"/>
      <c r="N214" s="130"/>
      <c r="O214" s="130"/>
      <c r="P214" s="130"/>
    </row>
    <row r="215" spans="1:23" ht="22.5" customHeight="1">
      <c r="A215" s="61"/>
      <c r="B215" s="130"/>
      <c r="C215" s="130"/>
      <c r="D215" s="130"/>
      <c r="E215" s="130"/>
      <c r="F215" s="130"/>
      <c r="G215" s="130"/>
      <c r="H215" s="130"/>
      <c r="I215" s="130"/>
      <c r="J215" s="130"/>
      <c r="K215" s="130"/>
      <c r="L215" s="130"/>
      <c r="M215" s="130"/>
      <c r="N215" s="130"/>
      <c r="O215" s="130"/>
      <c r="P215" s="130"/>
    </row>
    <row r="216" spans="1:23" ht="22.5" customHeight="1">
      <c r="A216" s="61"/>
      <c r="B216" s="130"/>
      <c r="C216" s="130"/>
      <c r="D216" s="130"/>
      <c r="E216" s="130"/>
      <c r="F216" s="130"/>
      <c r="G216" s="130"/>
      <c r="H216" s="130"/>
      <c r="I216" s="130"/>
      <c r="J216" s="130"/>
      <c r="K216" s="130"/>
      <c r="L216" s="130"/>
      <c r="M216" s="130"/>
      <c r="N216" s="130"/>
      <c r="O216" s="130"/>
      <c r="P216" s="130"/>
    </row>
    <row r="217" spans="1:23" ht="22.5" customHeight="1">
      <c r="A217" s="61"/>
      <c r="B217" s="130"/>
      <c r="C217" s="130"/>
      <c r="D217" s="130"/>
      <c r="E217" s="130"/>
      <c r="F217" s="130"/>
      <c r="G217" s="130"/>
      <c r="H217" s="130"/>
      <c r="I217" s="130"/>
      <c r="J217" s="130"/>
      <c r="K217" s="130"/>
      <c r="L217" s="130"/>
      <c r="M217" s="130"/>
      <c r="N217" s="130"/>
      <c r="O217" s="130"/>
      <c r="P217" s="130"/>
    </row>
    <row r="218" spans="1:23" ht="22.5" customHeight="1">
      <c r="A218" s="61"/>
      <c r="B218" s="130"/>
      <c r="C218" s="130"/>
      <c r="D218" s="130"/>
      <c r="E218" s="130"/>
      <c r="F218" s="130"/>
      <c r="G218" s="130"/>
      <c r="H218" s="130"/>
      <c r="I218" s="130"/>
      <c r="J218" s="130"/>
      <c r="K218" s="130"/>
      <c r="L218" s="130"/>
      <c r="M218" s="130"/>
      <c r="N218" s="130"/>
      <c r="O218" s="130"/>
      <c r="P218" s="130"/>
    </row>
    <row r="219" spans="1:23" ht="22.5" customHeight="1">
      <c r="A219" s="61"/>
      <c r="B219" s="130"/>
      <c r="C219" s="130"/>
      <c r="D219" s="130"/>
      <c r="E219" s="130"/>
      <c r="F219" s="130"/>
      <c r="G219" s="130"/>
      <c r="H219" s="130"/>
      <c r="I219" s="130"/>
      <c r="J219" s="130"/>
      <c r="K219" s="130"/>
      <c r="L219" s="130"/>
      <c r="M219" s="130"/>
      <c r="N219" s="130"/>
      <c r="O219" s="130"/>
      <c r="P219" s="130"/>
    </row>
    <row r="220" spans="1:23" ht="22.5" customHeight="1">
      <c r="A220" s="61"/>
      <c r="B220" s="130"/>
      <c r="C220" s="130"/>
      <c r="D220" s="130"/>
      <c r="E220" s="130"/>
      <c r="F220" s="130"/>
      <c r="G220" s="130"/>
      <c r="H220" s="130"/>
      <c r="I220" s="130"/>
      <c r="J220" s="130"/>
      <c r="K220" s="130"/>
      <c r="L220" s="130"/>
      <c r="M220" s="130"/>
      <c r="N220" s="130"/>
      <c r="O220" s="130"/>
      <c r="P220" s="130"/>
    </row>
    <row r="221" spans="1:23" ht="22.5" customHeight="1">
      <c r="A221" s="61"/>
      <c r="B221" s="130"/>
      <c r="C221" s="130"/>
      <c r="D221" s="130"/>
      <c r="E221" s="130"/>
      <c r="F221" s="130"/>
      <c r="G221" s="130"/>
      <c r="H221" s="130"/>
      <c r="I221" s="130"/>
      <c r="J221" s="130"/>
      <c r="K221" s="130"/>
      <c r="L221" s="130"/>
      <c r="M221" s="130"/>
      <c r="N221" s="130"/>
      <c r="O221" s="130"/>
      <c r="P221" s="130"/>
    </row>
    <row r="222" spans="1:23" ht="22.5" customHeight="1">
      <c r="A222" s="61"/>
      <c r="B222" s="130"/>
      <c r="C222" s="130"/>
      <c r="D222" s="130"/>
      <c r="E222" s="130"/>
      <c r="F222" s="130"/>
      <c r="G222" s="130"/>
      <c r="H222" s="130"/>
      <c r="I222" s="130"/>
      <c r="J222" s="130"/>
      <c r="K222" s="130"/>
      <c r="L222" s="130"/>
      <c r="M222" s="130"/>
      <c r="N222" s="130"/>
      <c r="O222" s="130"/>
      <c r="P222" s="130"/>
    </row>
    <row r="223" spans="1:23" ht="22.5" customHeight="1">
      <c r="A223" s="61"/>
      <c r="B223" s="130"/>
      <c r="C223" s="130"/>
      <c r="D223" s="130"/>
      <c r="E223" s="130"/>
      <c r="F223" s="130"/>
      <c r="G223" s="130"/>
      <c r="H223" s="130"/>
      <c r="I223" s="130"/>
      <c r="J223" s="130"/>
      <c r="K223" s="130"/>
      <c r="L223" s="130"/>
      <c r="M223" s="130"/>
      <c r="N223" s="130"/>
      <c r="O223" s="130"/>
      <c r="P223" s="130"/>
    </row>
    <row r="224" spans="1:23" ht="22.5" customHeight="1">
      <c r="A224" s="61"/>
      <c r="B224" s="130"/>
      <c r="C224" s="130"/>
      <c r="D224" s="130"/>
      <c r="E224" s="130"/>
      <c r="F224" s="130"/>
      <c r="G224" s="130"/>
      <c r="H224" s="130"/>
      <c r="I224" s="130"/>
      <c r="J224" s="130"/>
      <c r="K224" s="130"/>
      <c r="L224" s="130"/>
      <c r="M224" s="130"/>
      <c r="N224" s="130"/>
      <c r="O224" s="130"/>
      <c r="P224" s="130"/>
    </row>
    <row r="225" spans="1:19" ht="22.5" customHeight="1">
      <c r="A225" s="61"/>
      <c r="B225" s="130"/>
      <c r="C225" s="130"/>
      <c r="D225" s="130"/>
      <c r="E225" s="130"/>
      <c r="F225" s="130"/>
      <c r="G225" s="130"/>
      <c r="H225" s="130"/>
      <c r="I225" s="130"/>
      <c r="J225" s="130"/>
      <c r="K225" s="130"/>
      <c r="L225" s="130"/>
      <c r="M225" s="130"/>
      <c r="N225" s="130"/>
      <c r="O225" s="130"/>
      <c r="P225" s="130"/>
    </row>
    <row r="226" spans="1:19" ht="22.5" customHeight="1">
      <c r="A226" s="61"/>
      <c r="B226" s="130"/>
      <c r="C226" s="130"/>
      <c r="D226" s="130"/>
      <c r="E226" s="130"/>
      <c r="F226" s="130"/>
      <c r="G226" s="130"/>
      <c r="H226" s="130"/>
      <c r="I226" s="130"/>
      <c r="J226" s="130"/>
      <c r="K226" s="130"/>
      <c r="L226" s="130"/>
      <c r="M226" s="130"/>
      <c r="N226" s="130"/>
      <c r="O226" s="130"/>
      <c r="P226" s="130"/>
    </row>
    <row r="227" spans="1:19" ht="22.5" customHeight="1">
      <c r="A227" s="130"/>
      <c r="B227" s="130"/>
      <c r="C227" s="130"/>
      <c r="D227" s="130"/>
      <c r="E227" s="130"/>
      <c r="F227" s="130"/>
      <c r="G227" s="130"/>
      <c r="H227" s="130"/>
      <c r="I227" s="130"/>
      <c r="J227" s="130"/>
      <c r="K227" s="130"/>
      <c r="L227" s="130"/>
      <c r="M227" s="130"/>
      <c r="N227" s="130"/>
      <c r="O227" s="130"/>
      <c r="P227" s="130"/>
      <c r="S227" s="102">
        <f>SUM(S142:S184)</f>
        <v>3778787</v>
      </c>
    </row>
  </sheetData>
  <mergeCells count="1">
    <mergeCell ref="AB21:AB22"/>
  </mergeCells>
  <hyperlinks>
    <hyperlink ref="H100" r:id="rId1" display="Para cerrar el mes de las madres con broche de oro, FONCEP les invita a compartir una jornada especial de bienestar y cuidado, pensionados y pensionadas de Chapinero y localidades aledañas: les esperamos este martes 26 de mayo, de 8:00 am a 12:00 m, con vacunación, charlas, Pasaporte Vital y orientación en trámites pensionales, cupos limitados, inscríbete aquí https://acortar.link/dZz2sm" xr:uid="{25F5E69B-83CD-4528-BC13-015C8E7B0216}"/>
    <hyperlink ref="H154" r:id="rId2" display="Tienes entre 15 y 24 años y una idea o iniciativa por el clima? Participa en el Laboratorio de Ideas Climaticas este 22 de agosto, de 8 am a 1 pm. Conoce como postularte a la convocatoria que entregara hasta USD 3.000 a iniciativas seleccionadas. Inscribete: https://forms.gle/jWjTFSNL4MqSgXGa7" xr:uid="{5251EDB4-CAB7-43E1-8E71-F505A50AFD8A}"/>
    <hyperlink ref="H177" r:id="rId3" xr:uid="{3314CA37-6940-4AD0-9D6E-453F0C9C64F5}"/>
    <hyperlink ref="H178" r:id="rId4" xr:uid="{14C49A2D-0102-4715-9E85-F064F7920D42}"/>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C5748EA-3772-49FF-AD37-77B9A7C67AD1}">
          <x14:formula1>
            <xm:f>Hoja1!$B$1:$B$13</xm:f>
          </x14:formula1>
          <xm:sqref>K51:K110 K127:K184</xm:sqref>
        </x14:dataValidation>
        <x14:dataValidation type="list" allowBlank="1" showInputMessage="1" showErrorMessage="1" xr:uid="{99CEBAA1-435A-47EA-BF61-973A6EA87428}">
          <x14:formula1>
            <xm:f>tabla!$A$1:$A$4</xm:f>
          </x14:formula1>
          <xm:sqref>AC2:AC108</xm:sqref>
        </x14:dataValidation>
        <x14:dataValidation type="list" allowBlank="1" showInputMessage="1" showErrorMessage="1" xr:uid="{B3CDFEDC-A195-4A91-B576-BC460604CC29}">
          <x14:formula1>
            <xm:f>Hoja1!$A$1:$A$5</xm:f>
          </x14:formula1>
          <xm:sqref>I2:I192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3D5A-4187-494B-B22F-F997B3839F40}">
  <dimension ref="A1"/>
  <sheetViews>
    <sheetView workbookViewId="0"/>
  </sheetViews>
  <sheetFormatPr defaultColWidth="8.7109375" defaultRowHeight="14.45"/>
  <cols>
    <col min="3" max="3" width="17.7109375" customWidth="1"/>
    <col min="6" max="6" width="17"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2566-6B6C-4CEC-B820-CFCC9F8D5B1B}">
  <dimension ref="A1:B2"/>
  <sheetViews>
    <sheetView workbookViewId="0">
      <selection activeCell="E15" sqref="E15"/>
    </sheetView>
  </sheetViews>
  <sheetFormatPr defaultColWidth="8.7109375" defaultRowHeight="14.45"/>
  <cols>
    <col min="1" max="1" width="24.5703125" customWidth="1"/>
    <col min="2" max="2" width="38.7109375" customWidth="1"/>
  </cols>
  <sheetData>
    <row r="1" spans="1:2">
      <c r="A1" s="104" t="s">
        <v>18</v>
      </c>
      <c r="B1" s="104" t="s">
        <v>479</v>
      </c>
    </row>
    <row r="2" spans="1:2">
      <c r="A2" s="129" t="s">
        <v>359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5797-D67B-492D-9ED7-70E1FC72AC23}">
  <dimension ref="A1"/>
  <sheetViews>
    <sheetView workbookViewId="0">
      <selection activeCell="J11" sqref="J11"/>
    </sheetView>
  </sheetViews>
  <sheetFormatPr defaultColWidth="8.7109375"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D8D2-C048-4786-BA2B-2E41C5C6DC88}">
  <dimension ref="A1:A2"/>
  <sheetViews>
    <sheetView workbookViewId="0">
      <selection sqref="A1:A2"/>
    </sheetView>
  </sheetViews>
  <sheetFormatPr defaultColWidth="11.42578125" defaultRowHeight="14.45"/>
  <sheetData>
    <row r="1" spans="1:1">
      <c r="A1" t="s">
        <v>480</v>
      </c>
    </row>
    <row r="2" spans="1:1">
      <c r="A2" t="s">
        <v>481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6A36-8322-47B2-9872-F6C7152FC916}">
  <dimension ref="A1"/>
  <sheetViews>
    <sheetView workbookViewId="0"/>
  </sheetViews>
  <sheetFormatPr defaultColWidth="8.7109375"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 Yaneth Santana</dc:creator>
  <cp:keywords/>
  <dc:description/>
  <cp:lastModifiedBy>Alba Nely Cuaran Pinchao</cp:lastModifiedBy>
  <cp:revision/>
  <dcterms:created xsi:type="dcterms:W3CDTF">2025-09-17T12:14:16Z</dcterms:created>
  <dcterms:modified xsi:type="dcterms:W3CDTF">2026-10-19T08:24:35Z</dcterms:modified>
  <cp:category/>
  <cp:contentStatus/>
</cp:coreProperties>
</file>